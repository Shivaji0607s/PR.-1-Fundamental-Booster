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118f22dc0b60c2/Desktop/SHIVAJI/Excel/"/>
    </mc:Choice>
  </mc:AlternateContent>
  <xr:revisionPtr revIDLastSave="608" documentId="8_{BE94E53A-7BF3-4374-A541-82DA1BAA96B3}" xr6:coauthVersionLast="47" xr6:coauthVersionMax="47" xr10:uidLastSave="{9F090A07-10FB-4548-80F8-281D4C6F2CC8}"/>
  <bookViews>
    <workbookView xWindow="-108" yWindow="-108" windowWidth="23256" windowHeight="12456" xr2:uid="{6D66E86A-1B24-49AD-ACB2-88BF487D0875}"/>
  </bookViews>
  <sheets>
    <sheet name="Students_Grade" sheetId="1" r:id="rId1"/>
    <sheet name="Sales_Data" sheetId="2" r:id="rId2"/>
    <sheet name="Employee_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 a="1"/>
  <c r="A37" i="1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3" i="3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3" i="2"/>
  <c r="C47" i="2"/>
  <c r="G37" i="2"/>
  <c r="G38" i="2"/>
  <c r="G39" i="2"/>
  <c r="G40" i="2"/>
  <c r="G36" i="2"/>
  <c r="F36" i="3"/>
  <c r="F37" i="3"/>
  <c r="F38" i="3"/>
  <c r="F35" i="3"/>
  <c r="D37" i="2" a="1"/>
  <c r="D37" i="2" s="1"/>
  <c r="D38" i="2" a="1"/>
  <c r="D38" i="2" s="1"/>
  <c r="D39" i="2" a="1"/>
  <c r="D39" i="2" s="1"/>
  <c r="D40" i="2" a="1"/>
  <c r="D40" i="2" s="1"/>
  <c r="D42" i="2" a="1"/>
  <c r="D42" i="2" s="1"/>
  <c r="B37" i="3"/>
  <c r="B38" i="3"/>
  <c r="C37" i="3"/>
  <c r="C38" i="3"/>
  <c r="C36" i="3"/>
  <c r="C35" i="3"/>
  <c r="B36" i="3"/>
  <c r="B35" i="3"/>
  <c r="F28" i="3"/>
  <c r="F29" i="3"/>
  <c r="F30" i="3"/>
  <c r="F27" i="3"/>
  <c r="D30" i="3"/>
  <c r="D29" i="3"/>
  <c r="D28" i="3"/>
  <c r="D27" i="3"/>
  <c r="J30" i="2" a="1"/>
  <c r="J30" i="2" s="1"/>
  <c r="J29" i="2" a="1"/>
  <c r="J29" i="2" s="1"/>
  <c r="J28" i="2" a="1"/>
  <c r="J28" i="2" s="1"/>
  <c r="J27" i="2" a="1"/>
  <c r="J27" i="2" s="1"/>
  <c r="J26" i="2" a="1"/>
  <c r="J26" i="2" s="1"/>
  <c r="F30" i="2"/>
  <c r="F27" i="2"/>
  <c r="F28" i="2"/>
  <c r="F29" i="2"/>
  <c r="F26" i="2"/>
  <c r="G32" i="1"/>
  <c r="G30" i="1"/>
  <c r="G31" i="1"/>
  <c r="G29" i="1"/>
  <c r="D2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C30" i="2"/>
  <c r="C29" i="2"/>
  <c r="C28" i="2"/>
  <c r="C27" i="2"/>
  <c r="C26" i="2"/>
  <c r="G25" i="1"/>
  <c r="H3" i="2"/>
  <c r="H4" i="2"/>
  <c r="H5" i="2"/>
  <c r="H6" i="2"/>
  <c r="H7" i="2"/>
  <c r="H8" i="2"/>
  <c r="H9" i="2"/>
  <c r="H10" i="2"/>
  <c r="H11" i="2"/>
  <c r="H12" i="2"/>
  <c r="H13" i="2"/>
  <c r="H14" i="2"/>
  <c r="D41" i="2" s="1" a="1"/>
  <c r="D41" i="2" s="1"/>
  <c r="H15" i="2"/>
  <c r="H16" i="2"/>
  <c r="H17" i="2"/>
  <c r="H18" i="2"/>
  <c r="H19" i="2"/>
  <c r="H20" i="2"/>
  <c r="H21" i="2"/>
  <c r="H22" i="2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3" i="1"/>
  <c r="G4" i="2"/>
  <c r="G5" i="2"/>
  <c r="G6" i="2"/>
  <c r="G7" i="2"/>
  <c r="G8" i="2"/>
  <c r="G9" i="2"/>
  <c r="D36" i="2" s="1" a="1"/>
  <c r="D36" i="2" s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3" i="2"/>
  <c r="J36" i="2"/>
  <c r="G3" i="1" l="1"/>
  <c r="G4" i="1"/>
  <c r="H4" i="1" s="1"/>
  <c r="I4" i="1" s="1"/>
  <c r="G5" i="1"/>
  <c r="H5" i="1" s="1"/>
  <c r="I5" i="1" s="1"/>
  <c r="G6" i="1"/>
  <c r="H6" i="1" s="1"/>
  <c r="I6" i="1" s="1"/>
  <c r="G7" i="1"/>
  <c r="H7" i="1" s="1"/>
  <c r="I7" i="1" s="1"/>
  <c r="G8" i="1"/>
  <c r="H8" i="1" s="1"/>
  <c r="I8" i="1" s="1"/>
  <c r="G9" i="1"/>
  <c r="H9" i="1" s="1"/>
  <c r="I9" i="1" s="1"/>
  <c r="G10" i="1"/>
  <c r="H10" i="1" s="1"/>
  <c r="I10" i="1" s="1"/>
  <c r="G11" i="1"/>
  <c r="H11" i="1" s="1"/>
  <c r="I11" i="1" s="1"/>
  <c r="G12" i="1"/>
  <c r="H12" i="1" s="1"/>
  <c r="I12" i="1" s="1"/>
  <c r="G13" i="1"/>
  <c r="H13" i="1" s="1"/>
  <c r="I13" i="1" s="1"/>
  <c r="G14" i="1"/>
  <c r="H14" i="1" s="1"/>
  <c r="I14" i="1" s="1"/>
  <c r="G15" i="1"/>
  <c r="H15" i="1" s="1"/>
  <c r="I15" i="1" s="1"/>
  <c r="G16" i="1"/>
  <c r="H16" i="1" s="1"/>
  <c r="I16" i="1" s="1"/>
  <c r="G17" i="1"/>
  <c r="H17" i="1" s="1"/>
  <c r="I17" i="1" s="1"/>
  <c r="G18" i="1"/>
  <c r="H18" i="1" s="1"/>
  <c r="I18" i="1" s="1"/>
  <c r="G19" i="1"/>
  <c r="H19" i="1" s="1"/>
  <c r="I19" i="1" s="1"/>
  <c r="G20" i="1"/>
  <c r="H20" i="1" s="1"/>
  <c r="I20" i="1" s="1"/>
  <c r="G21" i="1"/>
  <c r="H21" i="1" s="1"/>
  <c r="I21" i="1" s="1"/>
  <c r="G22" i="1"/>
  <c r="H22" i="1" s="1"/>
  <c r="I22" i="1" s="1"/>
  <c r="H3" i="1" l="1"/>
  <c r="I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<sst xmlns="http://schemas.openxmlformats.org/spreadsheetml/2006/main" count="221" uniqueCount="123">
  <si>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</si>
  <si>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</si>
  <si>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</si>
  <si>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</si>
  <si>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</si>
  <si>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</si>
  <si>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</si>
  <si>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</si>
  <si>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</si>
  <si>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</si>
  <si>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</si>
  <si>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</si>
  <si>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</si>
  <si>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</si>
  <si>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</si>
  <si>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</si>
  <si>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</si>
  <si>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</si>
  <si>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</si>
  <si>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</si>
  <si>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</si>
  <si>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</si>
  <si>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</si>
  <si>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</si>
  <si>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</si>
  <si>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</si>
  <si>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</si>
  <si>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</si>
  <si>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</si>
  <si>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</si>
  <si>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</si>
  <si>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</si>
  <si>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</si>
  <si>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</si>
  <si>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</si>
  <si>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</si>
  <si>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</si>
  <si>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</si>
  <si>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</si>
  <si>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</si>
  <si>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</si>
  <si>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</si>
  <si>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</si>
  <si>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</si>
  <si>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</si>
  <si>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</si>
  <si>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</si>
  <si>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</si>
  <si>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</si>
  <si>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</si>
  <si>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</si>
  <si>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</si>
  <si>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</si>
  <si>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</si>
  <si>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</si>
  <si>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</si>
  <si>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</si>
  <si>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</si>
  <si>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</si>
  <si>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</si>
  <si>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</si>
  <si>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Sales_Data</t>
  </si>
  <si>
    <t>Students_Grade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</si>
  <si>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</si>
  <si>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</si>
  <si>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</si>
  <si>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</si>
  <si>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</si>
  <si>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</si>
  <si>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</si>
  <si>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</si>
  <si>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</si>
  <si>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</si>
  <si>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</si>
  <si>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</si>
  <si>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</si>
  <si>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</si>
  <si>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</si>
  <si>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</si>
  <si>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</si>
  <si>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</si>
  <si>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</si>
  <si>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</si>
  <si>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</si>
  <si>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</si>
  <si>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</si>
  <si>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</si>
  <si>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</si>
  <si>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</si>
  <si>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</si>
  <si>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</si>
  <si>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Employee_Data</t>
  </si>
  <si>
    <t>Total Marks</t>
  </si>
  <si>
    <t>Total Percent</t>
  </si>
  <si>
    <t>Grades</t>
  </si>
  <si>
    <t>Discounts %</t>
  </si>
  <si>
    <t xml:space="preserve">Students who scored above 80 in Both Math &amp; Science </t>
  </si>
  <si>
    <t>Discount Eligibility</t>
  </si>
  <si>
    <t>Number of students who scored above 50 in Math</t>
  </si>
  <si>
    <t>The average score for students who scored above 60</t>
  </si>
  <si>
    <t>Enter Student Id To Fetch Its Name</t>
  </si>
  <si>
    <t>Enter Product ID to Retrieve Product Price</t>
  </si>
  <si>
    <t xml:space="preserve">Enter Product to Fetch its Total Sale </t>
  </si>
  <si>
    <t>Find sales values for a specific salesperson in a specific month</t>
  </si>
  <si>
    <t>February</t>
  </si>
  <si>
    <t>March</t>
  </si>
  <si>
    <t>April</t>
  </si>
  <si>
    <t>Look up employee details dynamically without column restrictions</t>
  </si>
  <si>
    <t>Extract the first name from full names using LEFT and FIND.</t>
  </si>
  <si>
    <t>Convert names to uppercase/lowercase using UPPER(), LOWER()</t>
  </si>
  <si>
    <t>Search for salesperson performance based on flexible search criteria.</t>
  </si>
  <si>
    <t>Find employee salaries without worrying about sorted data</t>
  </si>
  <si>
    <t>Find the position of a product in a sales list</t>
  </si>
  <si>
    <t>Create dynamic ranges for sales trends.</t>
  </si>
  <si>
    <t>Create dynamic ranges for sales trends</t>
  </si>
  <si>
    <t>Total Amount</t>
  </si>
  <si>
    <t>Date of Birth</t>
  </si>
  <si>
    <t>Age</t>
  </si>
  <si>
    <t>Round Amount</t>
  </si>
  <si>
    <t>Ceiling Amount</t>
  </si>
  <si>
    <t>Floor Amount</t>
  </si>
  <si>
    <t>Extract a list of top-performing students based on scores.</t>
  </si>
  <si>
    <t>The difference in days between Date of Birth AND Joining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</si>
</sst>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i/>
      <sz val="11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sz val="11"/>
      <color theme="1" tint="4.9989318521683403E-2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sz val="8"/>
      <name val="Aptos Narrow"/>
      <family val="2"/>
      <scheme val="minor"/>
    </font>
    <font>
      <b/>
      <sz val="12"/>
      <color theme="1" tint="4.9989318521683403E-2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theme="7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164" fontId="0" fillId="0" borderId="0" xfId="0" applyNumberFormat="1"/>
    <xf numFmtId="14" fontId="4" fillId="0" borderId="0" xfId="0" applyNumberFormat="1" applyFont="1"/>
    <xf numFmtId="0" fontId="2" fillId="9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44" fontId="2" fillId="0" borderId="0" xfId="1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164" fontId="3" fillId="4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0" fillId="0" borderId="0" xfId="1" applyNumberFormat="1" applyFont="1"/>
    <xf numFmtId="0" fontId="6" fillId="3" borderId="0" xfId="1" applyNumberFormat="1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44" fontId="2" fillId="11" borderId="0" xfId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4" fontId="0" fillId="0" borderId="0" xfId="0" applyNumberFormat="1"/>
    <xf numFmtId="44" fontId="2" fillId="9" borderId="0" xfId="1" applyFont="1" applyFill="1" applyBorder="1" applyAlignment="1">
      <alignment horizontal="center" vertical="center" wrapText="1"/>
    </xf>
    <xf numFmtId="14" fontId="6" fillId="2" borderId="0" xfId="0" applyNumberFormat="1" applyFont="1" applyFill="1" applyAlignment="1">
      <alignment horizontal="center" vertical="center" wrapText="1"/>
    </xf>
    <xf numFmtId="14" fontId="2" fillId="8" borderId="0" xfId="0" applyNumberFormat="1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0" fillId="0" borderId="0" xfId="1" applyNumberFormat="1" applyFont="1" applyBorder="1"/>
    <xf numFmtId="0" fontId="10" fillId="1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5" fillId="5" borderId="0" xfId="0" applyFont="1" applyFill="1" applyAlignment="1">
      <alignment horizontal="center"/>
    </xf>
    <xf numFmtId="0" fontId="7" fillId="10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/>
    </xf>
    <xf numFmtId="0" fontId="2" fillId="11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5" fillId="7" borderId="0" xfId="0" applyFont="1" applyFill="1" applyAlignment="1">
      <alignment horizontal="center"/>
    </xf>
    <xf numFmtId="2" fontId="2" fillId="8" borderId="0" xfId="0" applyNumberFormat="1" applyFont="1" applyFill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41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₹&quot;\ 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top style="medium">
          <color rgb="FFCCCCCC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top style="medium">
          <color rgb="FFCCCCCC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99B56-2DE4-4D5B-BA59-294C032B5742}" name="Table1" displayName="Table1" ref="A2:K22" totalsRowShown="0" headerRowDxfId="40" dataDxfId="39">
  <autoFilter ref="A2:K22" xr:uid="{17999B56-2DE4-4D5B-BA59-294C032B5742}"/>
  <tableColumns count="11">
    <tableColumn id="1" xr3:uid="{19615477-7D17-4A28-8EBE-D2FED03E6CDB}" name="Student ID" dataDxfId="38"/>
    <tableColumn id="2" xr3:uid="{FEEDBB2C-C4D7-40C9-BEF1-EA0DCC7E6DF9}" name="Name" dataDxfId="37"/>
    <tableColumn id="3" xr3:uid="{45CA2F59-3A96-4EE7-8F76-B95A6100DE05}" name="Math" dataDxfId="36"/>
    <tableColumn id="4" xr3:uid="{FE94C77E-1543-4603-B9D4-D7F483CA0469}" name="Science" dataDxfId="35"/>
    <tableColumn id="5" xr3:uid="{20308607-9115-4631-8F53-826586584FD1}" name="English" dataDxfId="34"/>
    <tableColumn id="6" xr3:uid="{0785517B-5A47-4794-8D62-E28D1C8AB671}" name="Enrollment Date" dataDxfId="33"/>
    <tableColumn id="7" xr3:uid="{DFD2C57F-509A-4399-9E5D-7D6ABB5A8AA2}" name="Total Marks" dataDxfId="32">
      <calculatedColumnFormula>Table1[[#This Row],[Math]]+Table1[[#This Row],[Science]]+Table1[[#This Row],[English]]</calculatedColumnFormula>
    </tableColumn>
    <tableColumn id="8" xr3:uid="{D518384A-F06D-4AE2-934F-398BAAF7704F}" name="Total Percent" dataDxfId="31">
      <calculatedColumnFormula>G3/$C$25*100</calculatedColumnFormula>
    </tableColumn>
    <tableColumn id="9" xr3:uid="{F5B91467-C048-49C4-9137-ABD7B8D7BEB7}" name="Grades" dataDxfId="30">
      <calculatedColumnFormula>IF(H3&gt;=90,"A+",IF(H3&gt;=80,"A",IF(H3&gt;=70,"B+",IF(H3&gt;=60,"B",IF(H3&gt;=50,"C+",IF(H3&gt;=40,"C","F"))))))</calculatedColumnFormula>
    </tableColumn>
    <tableColumn id="10" xr3:uid="{71D8D385-D6A1-44E8-8B23-4DF3AEE731E6}" name="Students who scored above 80 in Both Math &amp; Science " dataDxfId="29">
      <calculatedColumnFormula>IF(AND(C3&gt;=80, D3&gt;=80), "Pass", "Fail")</calculatedColumnFormula>
    </tableColumn>
    <tableColumn id="11" xr3:uid="{AD2E8C8D-7928-4EBD-B786-C90DE70AA849}" name="The average score for students who scored above 60" dataDxfId="28">
      <calculatedColumnFormula>AVERAGEIFS(Table1[[Math]:[English]],Table1[[Math]:[English]],"&gt;60")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21D154-DA99-4E31-ABBF-044575B2FFCD}" name="Table2" displayName="Table2" ref="A2:K22" totalsRowShown="0" headerRowDxfId="27" dataDxfId="25" headerRowBorderDxfId="26" tableBorderDxfId="24" totalsRowBorderDxfId="23">
  <autoFilter ref="A2:K22" xr:uid="{F921D154-DA99-4E31-ABBF-044575B2FFCD}"/>
  <tableColumns count="11">
    <tableColumn id="1" xr3:uid="{A981B5AD-768D-4912-9B6A-5653E485AB6C}" name="Sales ID" dataDxfId="22"/>
    <tableColumn id="2" xr3:uid="{D6C6668A-8177-45D4-8C68-DC2B75FCD3C1}" name="Product" dataDxfId="21"/>
    <tableColumn id="3" xr3:uid="{102F24E4-8D85-47BB-B27C-7E7E6D5A3F0B}" name="Region" dataDxfId="20"/>
    <tableColumn id="4" xr3:uid="{EA9E79F7-C944-4454-9FF5-B11B96E8CEE1}" name="Salesperson" dataDxfId="19"/>
    <tableColumn id="5" xr3:uid="{BDA3CA21-0C58-4CE1-B080-14100383A586}" name="Amount" dataDxfId="18" dataCellStyle="Currency"/>
    <tableColumn id="6" xr3:uid="{09015F22-B1FD-45CB-B5FA-66B121B6FC9E}" name="Date" dataDxfId="17"/>
    <tableColumn id="7" xr3:uid="{C602D197-F64B-4451-9605-A0CEAB173C09}" name="Discounts %" dataDxfId="16">
      <calculatedColumnFormula>IF(E3&gt;=40000,"50",IF(E3&gt;=30000,"40",IF(E3&gt;=20000,"30",IF(E3&gt;=15000,"20",IF(E3&gt;=10000,"10",IF(E3&gt;=5000,"5","1"))))))</calculatedColumnFormula>
    </tableColumn>
    <tableColumn id="8" xr3:uid="{453F1DCE-E871-4AA4-A355-50C487FF5008}" name="Discount Eligibility" dataDxfId="15">
      <calculatedColumnFormula>IF(OR(E3&gt;10000,C3="South"),"Eligible","Not Eligible")</calculatedColumnFormula>
    </tableColumn>
    <tableColumn id="9" xr3:uid="{F597348E-D8F5-4FDF-99EE-C9096A26F448}" name="Round Amount" dataDxfId="14" dataCellStyle="Currency">
      <calculatedColumnFormula>ROUND(Table2[[#This Row],[Amount]],2)</calculatedColumnFormula>
    </tableColumn>
    <tableColumn id="10" xr3:uid="{56C41D17-6B7F-40B8-B8A0-017A70A5F817}" name="Ceiling Amount" dataDxfId="13" dataCellStyle="Currency">
      <calculatedColumnFormula>CEILING(Table2[[#This Row],[Amount]],100)</calculatedColumnFormula>
    </tableColumn>
    <tableColumn id="11" xr3:uid="{B588ACB2-14D8-4AF0-94EE-D52FD9BF7A99}" name="Floor Amount" dataDxfId="12" dataCellStyle="Currency">
      <calculatedColumnFormula>FLOOR(Table2[[#This Row],[Amount]],100)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06F9C8-0135-49D6-B744-E51A0C4C3D57}" name="Table4" displayName="Table4" ref="A2:H22" totalsRowShown="0" headerRowDxfId="11" headerRowBorderDxfId="10" tableBorderDxfId="9" totalsRowBorderDxfId="8">
  <autoFilter ref="A2:H22" xr:uid="{3406F9C8-0135-49D6-B744-E51A0C4C3D57}"/>
  <tableColumns count="8">
    <tableColumn id="1" xr3:uid="{FBE15C77-0D32-461E-BDA3-A453D0EF4EA7}" name="Employee ID" dataDxfId="7"/>
    <tableColumn id="2" xr3:uid="{0FBCAF38-903B-4BEC-AF6D-4DCD56F10BB8}" name="Name" dataDxfId="6"/>
    <tableColumn id="3" xr3:uid="{F12AF6C6-C335-4DFC-A371-EE274E811C62}" name="Department" dataDxfId="5"/>
    <tableColumn id="4" xr3:uid="{F9C4DC12-64D5-42FA-BF90-9E39B7C5FBB5}" name="Salary" dataDxfId="4"/>
    <tableColumn id="5" xr3:uid="{AAC99DCA-A52A-435F-9A23-A6CE64D2FA3B}" name="Joining Date" dataDxfId="3"/>
    <tableColumn id="6" xr3:uid="{1F086AF8-C688-4B39-B3ED-55E36FE85477}" name="Date of Birth" dataDxfId="2"/>
    <tableColumn id="7" xr3:uid="{21D411BA-72FD-4C66-ABD3-71AB976EC9B2}" name="Age" dataDxfId="1">
      <calculatedColumnFormula>DATEDIF(Table4[[#This Row],[Date of Birth]],TODAY(),"Y")</calculatedColumnFormula>
    </tableColumn>
    <tableColumn id="8" xr3:uid="{CC8B1557-C729-49BF-AEFC-9A85A1BD5840}" name="The difference in days between Date of Birth AND Joining Date" dataDxfId="0">
      <calculatedColumnFormula>DATEDIF(Table4[[#This Row],[Date of Birth]],Table4[[#This Row],[Joining Date]],"D")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A87C-5FF6-4E16-B190-9E6D71F29CA8}">
  <sheetPr>
    <tabColor theme="7"/>
  </sheetPr>
  <dimension ref="A1:Q38"/>
  <sheetViews>
    <sheetView tabSelected="1" topLeftCell="A21" workbookViewId="0">
      <selection activeCell="J35" sqref="J35"/>
    </sheetView>
  </sheetViews>
  <sheetFormatPr defaultRowHeight="14.4" x14ac:dyDescent="0.3"/>
  <cols>
    <col min="1" max="1" width="11.77734375" customWidth="1"/>
    <col min="2" max="2" width="13.6640625" customWidth="1"/>
    <col min="3" max="3" width="12.5546875" customWidth="1"/>
    <col min="4" max="4" width="10.21875" customWidth="1"/>
    <col min="5" max="5" width="10.77734375" customWidth="1"/>
    <col min="6" max="6" width="20.6640625" style="2" customWidth="1"/>
    <col min="7" max="7" width="14.88671875" customWidth="1"/>
    <col min="8" max="8" width="11.88671875" bestFit="1" customWidth="1"/>
    <col min="10" max="10" width="19.77734375" customWidth="1"/>
    <col min="11" max="11" width="17.77734375" customWidth="1"/>
    <col min="12" max="12" width="16" bestFit="1" customWidth="1"/>
    <col min="13" max="13" width="8.77734375" customWidth="1"/>
    <col min="14" max="14" width="22.109375" customWidth="1"/>
    <col min="15" max="15" width="11" customWidth="1"/>
  </cols>
  <sheetData>
    <row r="1" spans="1:14" ht="37.799999999999997" customHeight="1" x14ac:dyDescent="0.55000000000000004">
      <c r="A1" s="32" t="s">
        <v>62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4" ht="41.4" customHeight="1" x14ac:dyDescent="0.3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23" t="s">
        <v>5</v>
      </c>
      <c r="G2" s="7" t="s">
        <v>92</v>
      </c>
      <c r="H2" s="7" t="s">
        <v>93</v>
      </c>
      <c r="I2" s="7" t="s">
        <v>94</v>
      </c>
      <c r="J2" s="7" t="s">
        <v>96</v>
      </c>
      <c r="K2" s="7" t="s">
        <v>99</v>
      </c>
    </row>
    <row r="3" spans="1:14" ht="20.399999999999999" customHeight="1" x14ac:dyDescent="0.3">
      <c r="A3" s="4">
        <v>1001</v>
      </c>
      <c r="B3" s="4" t="s">
        <v>6</v>
      </c>
      <c r="C3" s="4">
        <v>61</v>
      </c>
      <c r="D3" s="4">
        <v>48</v>
      </c>
      <c r="E3" s="4">
        <v>76</v>
      </c>
      <c r="F3" s="17">
        <v>43101</v>
      </c>
      <c r="G3" s="4">
        <f>Table1[[#This Row],[Math]]+Table1[[#This Row],[Science]]+Table1[[#This Row],[English]]</f>
        <v>185</v>
      </c>
      <c r="H3" s="8">
        <f t="shared" ref="H3:H22" si="0">G3/$C$25*100</f>
        <v>61.666666666666671</v>
      </c>
      <c r="I3" s="4" t="str">
        <f t="shared" ref="I3:I22" si="1">IF(H3&gt;=90,"A+",IF(H3&gt;=80,"A",IF(H3&gt;=70,"B+",IF(H3&gt;=60,"B",IF(H3&gt;=50,"C+",IF(H3&gt;=40,"C","F"))))))</f>
        <v>B</v>
      </c>
      <c r="J3" s="4" t="str">
        <f t="shared" ref="J3:J22" si="2">IF(AND(C3&gt;=80, D3&gt;=80), "Pass", "Fail")</f>
        <v>Fail</v>
      </c>
      <c r="K3" s="4">
        <f>AVERAGEIFS(Table1[[Math]:[English]],Table1[[Math]:[English]],"&gt;60")</f>
        <v>79.924999999999997</v>
      </c>
      <c r="L3" s="17"/>
      <c r="M3" s="4"/>
      <c r="N3" s="4"/>
    </row>
    <row r="4" spans="1:14" ht="20.399999999999999" customHeight="1" x14ac:dyDescent="0.3">
      <c r="A4" s="4">
        <v>1002</v>
      </c>
      <c r="B4" s="4" t="s">
        <v>7</v>
      </c>
      <c r="C4" s="4">
        <v>78</v>
      </c>
      <c r="D4" s="4">
        <v>76</v>
      </c>
      <c r="E4" s="4">
        <v>70</v>
      </c>
      <c r="F4" s="17">
        <v>43281</v>
      </c>
      <c r="G4" s="4">
        <f>Table1[[#This Row],[Math]]+Table1[[#This Row],[Science]]+Table1[[#This Row],[English]]</f>
        <v>224</v>
      </c>
      <c r="H4" s="8">
        <f t="shared" si="0"/>
        <v>74.666666666666671</v>
      </c>
      <c r="I4" s="4" t="str">
        <f t="shared" si="1"/>
        <v>B+</v>
      </c>
      <c r="J4" s="4" t="str">
        <f t="shared" si="2"/>
        <v>Fail</v>
      </c>
      <c r="K4" s="4">
        <f>AVERAGEIFS(Table1[[Math]:[English]],Table1[[Math]:[English]],"&gt;60")</f>
        <v>79.924999999999997</v>
      </c>
      <c r="L4" s="17"/>
      <c r="M4" s="4"/>
      <c r="N4" s="4"/>
    </row>
    <row r="5" spans="1:14" ht="20.399999999999999" customHeight="1" x14ac:dyDescent="0.3">
      <c r="A5" s="4">
        <v>1003</v>
      </c>
      <c r="B5" s="4" t="s">
        <v>8</v>
      </c>
      <c r="C5" s="4">
        <v>97</v>
      </c>
      <c r="D5" s="4">
        <v>60</v>
      </c>
      <c r="E5" s="4">
        <v>51</v>
      </c>
      <c r="F5" s="17">
        <v>43461</v>
      </c>
      <c r="G5" s="4">
        <f>Table1[[#This Row],[Math]]+Table1[[#This Row],[Science]]+Table1[[#This Row],[English]]</f>
        <v>208</v>
      </c>
      <c r="H5" s="8">
        <f t="shared" si="0"/>
        <v>69.333333333333343</v>
      </c>
      <c r="I5" s="4" t="str">
        <f t="shared" si="1"/>
        <v>B</v>
      </c>
      <c r="J5" s="4" t="str">
        <f t="shared" si="2"/>
        <v>Fail</v>
      </c>
      <c r="K5" s="4">
        <f>AVERAGEIFS(Table1[[Math]:[English]],Table1[[Math]:[English]],"&gt;60")</f>
        <v>79.924999999999997</v>
      </c>
      <c r="L5" s="17"/>
      <c r="M5" s="4"/>
      <c r="N5" s="4"/>
    </row>
    <row r="6" spans="1:14" ht="20.399999999999999" customHeight="1" x14ac:dyDescent="0.3">
      <c r="A6" s="4">
        <v>1004</v>
      </c>
      <c r="B6" s="4" t="s">
        <v>9</v>
      </c>
      <c r="C6" s="4">
        <v>74</v>
      </c>
      <c r="D6" s="4">
        <v>55</v>
      </c>
      <c r="E6" s="4">
        <v>46</v>
      </c>
      <c r="F6" s="17">
        <v>43641</v>
      </c>
      <c r="G6" s="4">
        <f>Table1[[#This Row],[Math]]+Table1[[#This Row],[Science]]+Table1[[#This Row],[English]]</f>
        <v>175</v>
      </c>
      <c r="H6" s="8">
        <f t="shared" si="0"/>
        <v>58.333333333333336</v>
      </c>
      <c r="I6" s="4" t="str">
        <f t="shared" si="1"/>
        <v>C+</v>
      </c>
      <c r="J6" s="4" t="str">
        <f t="shared" si="2"/>
        <v>Fail</v>
      </c>
      <c r="K6" s="4">
        <f>AVERAGEIFS(Table1[[Math]:[English]],Table1[[Math]:[English]],"&gt;60")</f>
        <v>79.924999999999997</v>
      </c>
      <c r="L6" s="17"/>
      <c r="M6" s="4"/>
      <c r="N6" s="4"/>
    </row>
    <row r="7" spans="1:14" ht="20.399999999999999" customHeight="1" x14ac:dyDescent="0.3">
      <c r="A7" s="4">
        <v>1005</v>
      </c>
      <c r="B7" s="4" t="s">
        <v>10</v>
      </c>
      <c r="C7" s="4">
        <v>68</v>
      </c>
      <c r="D7" s="4">
        <v>74</v>
      </c>
      <c r="E7" s="4">
        <v>84</v>
      </c>
      <c r="F7" s="17">
        <v>43821</v>
      </c>
      <c r="G7" s="4">
        <f>Table1[[#This Row],[Math]]+Table1[[#This Row],[Science]]+Table1[[#This Row],[English]]</f>
        <v>226</v>
      </c>
      <c r="H7" s="8">
        <f t="shared" si="0"/>
        <v>75.333333333333329</v>
      </c>
      <c r="I7" s="4" t="str">
        <f t="shared" si="1"/>
        <v>B+</v>
      </c>
      <c r="J7" s="4" t="str">
        <f t="shared" si="2"/>
        <v>Fail</v>
      </c>
      <c r="K7" s="4">
        <f>AVERAGEIFS(Table1[[Math]:[English]],Table1[[Math]:[English]],"&gt;60")</f>
        <v>79.924999999999997</v>
      </c>
      <c r="L7" s="17"/>
      <c r="M7" s="4"/>
      <c r="N7" s="4"/>
    </row>
    <row r="8" spans="1:14" ht="20.399999999999999" customHeight="1" x14ac:dyDescent="0.3">
      <c r="A8" s="4">
        <v>1006</v>
      </c>
      <c r="B8" s="4" t="s">
        <v>11</v>
      </c>
      <c r="C8" s="4">
        <v>80</v>
      </c>
      <c r="D8" s="4">
        <v>70</v>
      </c>
      <c r="E8" s="4">
        <v>65</v>
      </c>
      <c r="F8" s="17">
        <v>44001</v>
      </c>
      <c r="G8" s="4">
        <f>Table1[[#This Row],[Math]]+Table1[[#This Row],[Science]]+Table1[[#This Row],[English]]</f>
        <v>215</v>
      </c>
      <c r="H8" s="8">
        <f t="shared" si="0"/>
        <v>71.666666666666671</v>
      </c>
      <c r="I8" s="4" t="str">
        <f t="shared" si="1"/>
        <v>B+</v>
      </c>
      <c r="J8" s="4" t="str">
        <f t="shared" si="2"/>
        <v>Fail</v>
      </c>
      <c r="K8" s="4">
        <f>AVERAGEIFS(Table1[[Math]:[English]],Table1[[Math]:[English]],"&gt;60")</f>
        <v>79.924999999999997</v>
      </c>
      <c r="L8" s="17"/>
      <c r="M8" s="4"/>
      <c r="N8" s="4"/>
    </row>
    <row r="9" spans="1:14" ht="20.399999999999999" customHeight="1" x14ac:dyDescent="0.3">
      <c r="A9" s="4">
        <v>1007</v>
      </c>
      <c r="B9" s="4" t="s">
        <v>12</v>
      </c>
      <c r="C9" s="4">
        <v>75</v>
      </c>
      <c r="D9" s="4">
        <v>47</v>
      </c>
      <c r="E9" s="4">
        <v>78</v>
      </c>
      <c r="F9" s="17">
        <v>44181</v>
      </c>
      <c r="G9" s="4">
        <f>Table1[[#This Row],[Math]]+Table1[[#This Row],[Science]]+Table1[[#This Row],[English]]</f>
        <v>200</v>
      </c>
      <c r="H9" s="8">
        <f t="shared" si="0"/>
        <v>66.666666666666657</v>
      </c>
      <c r="I9" s="4" t="str">
        <f t="shared" si="1"/>
        <v>B</v>
      </c>
      <c r="J9" s="4" t="str">
        <f t="shared" si="2"/>
        <v>Fail</v>
      </c>
      <c r="K9" s="4">
        <f>AVERAGEIFS(Table1[[Math]:[English]],Table1[[Math]:[English]],"&gt;60")</f>
        <v>79.924999999999997</v>
      </c>
      <c r="L9" s="17"/>
      <c r="M9" s="4"/>
      <c r="N9" s="4"/>
    </row>
    <row r="10" spans="1:14" ht="20.399999999999999" customHeight="1" x14ac:dyDescent="0.3">
      <c r="A10" s="4">
        <v>1008</v>
      </c>
      <c r="B10" s="4" t="s">
        <v>13</v>
      </c>
      <c r="C10" s="4">
        <v>94</v>
      </c>
      <c r="D10" s="4">
        <v>67</v>
      </c>
      <c r="E10" s="4">
        <v>64</v>
      </c>
      <c r="F10" s="17">
        <v>44361</v>
      </c>
      <c r="G10" s="4">
        <f>Table1[[#This Row],[Math]]+Table1[[#This Row],[Science]]+Table1[[#This Row],[English]]</f>
        <v>225</v>
      </c>
      <c r="H10" s="8">
        <f t="shared" si="0"/>
        <v>75</v>
      </c>
      <c r="I10" s="4" t="str">
        <f t="shared" si="1"/>
        <v>B+</v>
      </c>
      <c r="J10" s="4" t="str">
        <f t="shared" si="2"/>
        <v>Fail</v>
      </c>
      <c r="K10" s="4">
        <f>AVERAGEIFS(Table1[[Math]:[English]],Table1[[Math]:[English]],"&gt;60")</f>
        <v>79.924999999999997</v>
      </c>
      <c r="L10" s="17"/>
      <c r="M10" s="4"/>
      <c r="N10" s="4"/>
    </row>
    <row r="11" spans="1:14" ht="20.399999999999999" customHeight="1" x14ac:dyDescent="0.3">
      <c r="A11" s="4">
        <v>1009</v>
      </c>
      <c r="B11" s="4" t="s">
        <v>14</v>
      </c>
      <c r="C11" s="4">
        <v>41</v>
      </c>
      <c r="D11" s="4">
        <v>75</v>
      </c>
      <c r="E11" s="4">
        <v>56</v>
      </c>
      <c r="F11" s="17">
        <v>44541</v>
      </c>
      <c r="G11" s="4">
        <f>Table1[[#This Row],[Math]]+Table1[[#This Row],[Science]]+Table1[[#This Row],[English]]</f>
        <v>172</v>
      </c>
      <c r="H11" s="8">
        <f t="shared" si="0"/>
        <v>57.333333333333336</v>
      </c>
      <c r="I11" s="4" t="str">
        <f t="shared" si="1"/>
        <v>C+</v>
      </c>
      <c r="J11" s="4" t="str">
        <f t="shared" si="2"/>
        <v>Fail</v>
      </c>
      <c r="K11" s="4">
        <f>AVERAGEIFS(Table1[[Math]:[English]],Table1[[Math]:[English]],"&gt;60")</f>
        <v>79.924999999999997</v>
      </c>
      <c r="L11" s="17"/>
      <c r="M11" s="4"/>
      <c r="N11" s="4"/>
    </row>
    <row r="12" spans="1:14" ht="20.399999999999999" customHeight="1" x14ac:dyDescent="0.3">
      <c r="A12" s="4">
        <v>1010</v>
      </c>
      <c r="B12" s="4" t="s">
        <v>15</v>
      </c>
      <c r="C12" s="4">
        <v>98</v>
      </c>
      <c r="D12" s="4">
        <v>54</v>
      </c>
      <c r="E12" s="4">
        <v>58</v>
      </c>
      <c r="F12" s="17">
        <v>44721</v>
      </c>
      <c r="G12" s="4">
        <f>Table1[[#This Row],[Math]]+Table1[[#This Row],[Science]]+Table1[[#This Row],[English]]</f>
        <v>210</v>
      </c>
      <c r="H12" s="8">
        <f t="shared" si="0"/>
        <v>70</v>
      </c>
      <c r="I12" s="4" t="str">
        <f t="shared" si="1"/>
        <v>B+</v>
      </c>
      <c r="J12" s="4" t="str">
        <f t="shared" si="2"/>
        <v>Fail</v>
      </c>
      <c r="K12" s="4">
        <f>AVERAGEIFS(Table1[[Math]:[English]],Table1[[Math]:[English]],"&gt;60")</f>
        <v>79.924999999999997</v>
      </c>
      <c r="L12" s="17"/>
      <c r="M12" s="4"/>
      <c r="N12" s="4"/>
    </row>
    <row r="13" spans="1:14" ht="20.399999999999999" customHeight="1" x14ac:dyDescent="0.3">
      <c r="A13" s="4">
        <v>1011</v>
      </c>
      <c r="B13" s="4" t="s">
        <v>16</v>
      </c>
      <c r="C13" s="4">
        <v>73</v>
      </c>
      <c r="D13" s="4">
        <v>79</v>
      </c>
      <c r="E13" s="4">
        <v>53</v>
      </c>
      <c r="F13" s="17">
        <v>44901</v>
      </c>
      <c r="G13" s="4">
        <f>Table1[[#This Row],[Math]]+Table1[[#This Row],[Science]]+Table1[[#This Row],[English]]</f>
        <v>205</v>
      </c>
      <c r="H13" s="8">
        <f t="shared" si="0"/>
        <v>68.333333333333329</v>
      </c>
      <c r="I13" s="4" t="str">
        <f t="shared" si="1"/>
        <v>B</v>
      </c>
      <c r="J13" s="4" t="str">
        <f t="shared" si="2"/>
        <v>Fail</v>
      </c>
      <c r="K13" s="4">
        <f>AVERAGEIFS(Table1[[Math]:[English]],Table1[[Math]:[English]],"&gt;60")</f>
        <v>79.924999999999997</v>
      </c>
      <c r="L13" s="17"/>
      <c r="M13" s="4"/>
      <c r="N13" s="4"/>
    </row>
    <row r="14" spans="1:14" ht="20.399999999999999" customHeight="1" x14ac:dyDescent="0.3">
      <c r="A14" s="4">
        <v>1012</v>
      </c>
      <c r="B14" s="4" t="s">
        <v>17</v>
      </c>
      <c r="C14" s="4">
        <v>85</v>
      </c>
      <c r="D14" s="4">
        <v>89</v>
      </c>
      <c r="E14" s="4">
        <v>79</v>
      </c>
      <c r="F14" s="17">
        <v>45081</v>
      </c>
      <c r="G14" s="4">
        <f>Table1[[#This Row],[Math]]+Table1[[#This Row],[Science]]+Table1[[#This Row],[English]]</f>
        <v>253</v>
      </c>
      <c r="H14" s="8">
        <f t="shared" si="0"/>
        <v>84.333333333333343</v>
      </c>
      <c r="I14" s="4" t="str">
        <f t="shared" si="1"/>
        <v>A</v>
      </c>
      <c r="J14" s="4" t="str">
        <f t="shared" si="2"/>
        <v>Pass</v>
      </c>
      <c r="K14" s="4">
        <f>AVERAGEIFS(Table1[[Math]:[English]],Table1[[Math]:[English]],"&gt;60")</f>
        <v>79.924999999999997</v>
      </c>
      <c r="L14" s="17"/>
      <c r="M14" s="4"/>
      <c r="N14" s="4"/>
    </row>
    <row r="15" spans="1:14" ht="20.399999999999999" customHeight="1" x14ac:dyDescent="0.3">
      <c r="A15" s="4">
        <v>1013</v>
      </c>
      <c r="B15" s="4" t="s">
        <v>18</v>
      </c>
      <c r="C15" s="4">
        <v>98</v>
      </c>
      <c r="D15" s="4">
        <v>90</v>
      </c>
      <c r="E15" s="4">
        <v>97</v>
      </c>
      <c r="F15" s="17">
        <v>45261</v>
      </c>
      <c r="G15" s="4">
        <f>Table1[[#This Row],[Math]]+Table1[[#This Row],[Science]]+Table1[[#This Row],[English]]</f>
        <v>285</v>
      </c>
      <c r="H15" s="8">
        <f t="shared" si="0"/>
        <v>95</v>
      </c>
      <c r="I15" s="4" t="str">
        <f t="shared" si="1"/>
        <v>A+</v>
      </c>
      <c r="J15" s="4" t="str">
        <f t="shared" si="2"/>
        <v>Pass</v>
      </c>
      <c r="K15" s="4">
        <f>AVERAGEIFS(Table1[[Math]:[English]],Table1[[Math]:[English]],"&gt;60")</f>
        <v>79.924999999999997</v>
      </c>
      <c r="L15" s="17"/>
      <c r="M15" s="4"/>
      <c r="N15" s="4"/>
    </row>
    <row r="16" spans="1:14" ht="20.399999999999999" customHeight="1" x14ac:dyDescent="0.3">
      <c r="A16" s="4">
        <v>1014</v>
      </c>
      <c r="B16" s="4" t="s">
        <v>19</v>
      </c>
      <c r="C16" s="4">
        <v>93</v>
      </c>
      <c r="D16" s="4">
        <v>40</v>
      </c>
      <c r="E16" s="4">
        <v>44</v>
      </c>
      <c r="F16" s="17">
        <v>45441</v>
      </c>
      <c r="G16" s="4">
        <f>Table1[[#This Row],[Math]]+Table1[[#This Row],[Science]]+Table1[[#This Row],[English]]</f>
        <v>177</v>
      </c>
      <c r="H16" s="8">
        <f t="shared" si="0"/>
        <v>59</v>
      </c>
      <c r="I16" s="4" t="str">
        <f t="shared" si="1"/>
        <v>C+</v>
      </c>
      <c r="J16" s="4" t="str">
        <f t="shared" si="2"/>
        <v>Fail</v>
      </c>
      <c r="K16" s="4">
        <f>AVERAGEIFS(Table1[[Math]:[English]],Table1[[Math]:[English]],"&gt;60")</f>
        <v>79.924999999999997</v>
      </c>
      <c r="L16" s="17"/>
      <c r="M16" s="4"/>
      <c r="N16" s="4"/>
    </row>
    <row r="17" spans="1:17" ht="20.399999999999999" customHeight="1" x14ac:dyDescent="0.3">
      <c r="A17" s="4">
        <v>1015</v>
      </c>
      <c r="B17" s="4" t="s">
        <v>20</v>
      </c>
      <c r="C17" s="4">
        <v>70</v>
      </c>
      <c r="D17" s="4">
        <v>51</v>
      </c>
      <c r="E17" s="4">
        <v>75</v>
      </c>
      <c r="F17" s="17">
        <v>45621</v>
      </c>
      <c r="G17" s="4">
        <f>Table1[[#This Row],[Math]]+Table1[[#This Row],[Science]]+Table1[[#This Row],[English]]</f>
        <v>196</v>
      </c>
      <c r="H17" s="8">
        <f t="shared" si="0"/>
        <v>65.333333333333329</v>
      </c>
      <c r="I17" s="4" t="str">
        <f t="shared" si="1"/>
        <v>B</v>
      </c>
      <c r="J17" s="4" t="str">
        <f t="shared" si="2"/>
        <v>Fail</v>
      </c>
      <c r="K17" s="4">
        <f>AVERAGEIFS(Table1[[Math]:[English]],Table1[[Math]:[English]],"&gt;60")</f>
        <v>79.924999999999997</v>
      </c>
      <c r="L17" s="17"/>
      <c r="M17" s="4"/>
      <c r="N17" s="4"/>
    </row>
    <row r="18" spans="1:17" ht="20.399999999999999" customHeight="1" x14ac:dyDescent="0.3">
      <c r="A18" s="4">
        <v>1016</v>
      </c>
      <c r="B18" s="4" t="s">
        <v>21</v>
      </c>
      <c r="C18" s="4">
        <v>98</v>
      </c>
      <c r="D18" s="4">
        <v>77</v>
      </c>
      <c r="E18" s="4">
        <v>60</v>
      </c>
      <c r="F18" s="17">
        <v>45801</v>
      </c>
      <c r="G18" s="4">
        <f>Table1[[#This Row],[Math]]+Table1[[#This Row],[Science]]+Table1[[#This Row],[English]]</f>
        <v>235</v>
      </c>
      <c r="H18" s="8">
        <f t="shared" si="0"/>
        <v>78.333333333333329</v>
      </c>
      <c r="I18" s="4" t="str">
        <f t="shared" si="1"/>
        <v>B+</v>
      </c>
      <c r="J18" s="4" t="str">
        <f t="shared" si="2"/>
        <v>Fail</v>
      </c>
      <c r="K18" s="4">
        <f>AVERAGEIFS(Table1[[Math]:[English]],Table1[[Math]:[English]],"&gt;60")</f>
        <v>79.924999999999997</v>
      </c>
      <c r="L18" s="17"/>
      <c r="M18" s="4"/>
      <c r="N18" s="4"/>
    </row>
    <row r="19" spans="1:17" ht="20.399999999999999" customHeight="1" x14ac:dyDescent="0.3">
      <c r="A19" s="4">
        <v>1017</v>
      </c>
      <c r="B19" s="4" t="s">
        <v>22</v>
      </c>
      <c r="C19" s="4">
        <v>66</v>
      </c>
      <c r="D19" s="4">
        <v>59</v>
      </c>
      <c r="E19" s="4">
        <v>40</v>
      </c>
      <c r="F19" s="17">
        <v>45981</v>
      </c>
      <c r="G19" s="4">
        <f>Table1[[#This Row],[Math]]+Table1[[#This Row],[Science]]+Table1[[#This Row],[English]]</f>
        <v>165</v>
      </c>
      <c r="H19" s="8">
        <f t="shared" si="0"/>
        <v>55.000000000000007</v>
      </c>
      <c r="I19" s="4" t="str">
        <f t="shared" si="1"/>
        <v>C+</v>
      </c>
      <c r="J19" s="4" t="str">
        <f t="shared" si="2"/>
        <v>Fail</v>
      </c>
      <c r="K19" s="4">
        <f>AVERAGEIFS(Table1[[Math]:[English]],Table1[[Math]:[English]],"&gt;60")</f>
        <v>79.924999999999997</v>
      </c>
      <c r="L19" s="17"/>
      <c r="M19" s="4"/>
      <c r="N19" s="4"/>
    </row>
    <row r="20" spans="1:17" ht="20.399999999999999" customHeight="1" x14ac:dyDescent="0.3">
      <c r="A20" s="4">
        <v>1018</v>
      </c>
      <c r="B20" s="4" t="s">
        <v>23</v>
      </c>
      <c r="C20" s="4">
        <v>82</v>
      </c>
      <c r="D20" s="4">
        <v>48</v>
      </c>
      <c r="E20" s="4">
        <v>79</v>
      </c>
      <c r="F20" s="17">
        <v>46161</v>
      </c>
      <c r="G20" s="4">
        <f>Table1[[#This Row],[Math]]+Table1[[#This Row],[Science]]+Table1[[#This Row],[English]]</f>
        <v>209</v>
      </c>
      <c r="H20" s="8">
        <f t="shared" si="0"/>
        <v>69.666666666666671</v>
      </c>
      <c r="I20" s="4" t="str">
        <f t="shared" si="1"/>
        <v>B</v>
      </c>
      <c r="J20" s="4" t="str">
        <f t="shared" si="2"/>
        <v>Fail</v>
      </c>
      <c r="K20" s="4">
        <f>AVERAGEIFS(Table1[[Math]:[English]],Table1[[Math]:[English]],"&gt;60")</f>
        <v>79.924999999999997</v>
      </c>
      <c r="L20" s="17"/>
      <c r="M20" s="4"/>
      <c r="N20" s="4"/>
    </row>
    <row r="21" spans="1:17" ht="20.399999999999999" customHeight="1" x14ac:dyDescent="0.3">
      <c r="A21" s="4">
        <v>1019</v>
      </c>
      <c r="B21" s="4" t="s">
        <v>24</v>
      </c>
      <c r="C21" s="4">
        <v>90</v>
      </c>
      <c r="D21" s="4">
        <v>78</v>
      </c>
      <c r="E21" s="4">
        <v>60</v>
      </c>
      <c r="F21" s="17">
        <v>46341</v>
      </c>
      <c r="G21" s="4">
        <f>Table1[[#This Row],[Math]]+Table1[[#This Row],[Science]]+Table1[[#This Row],[English]]</f>
        <v>228</v>
      </c>
      <c r="H21" s="8">
        <f t="shared" si="0"/>
        <v>76</v>
      </c>
      <c r="I21" s="4" t="str">
        <f t="shared" si="1"/>
        <v>B+</v>
      </c>
      <c r="J21" s="4" t="str">
        <f t="shared" si="2"/>
        <v>Fail</v>
      </c>
      <c r="K21" s="4">
        <f>AVERAGEIFS(Table1[[Math]:[English]],Table1[[Math]:[English]],"&gt;60")</f>
        <v>79.924999999999997</v>
      </c>
      <c r="L21" s="17"/>
      <c r="M21" s="4"/>
      <c r="N21" s="4"/>
    </row>
    <row r="22" spans="1:17" ht="20.399999999999999" customHeight="1" x14ac:dyDescent="0.3">
      <c r="A22" s="4">
        <v>1020</v>
      </c>
      <c r="B22" s="4" t="s">
        <v>25</v>
      </c>
      <c r="C22" s="4">
        <v>83</v>
      </c>
      <c r="D22" s="4">
        <v>92</v>
      </c>
      <c r="E22" s="4">
        <v>55</v>
      </c>
      <c r="F22" s="17">
        <v>46521</v>
      </c>
      <c r="G22" s="4">
        <f>Table1[[#This Row],[Math]]+Table1[[#This Row],[Science]]+Table1[[#This Row],[English]]</f>
        <v>230</v>
      </c>
      <c r="H22" s="8">
        <f t="shared" si="0"/>
        <v>76.666666666666671</v>
      </c>
      <c r="I22" s="4" t="str">
        <f t="shared" si="1"/>
        <v>B+</v>
      </c>
      <c r="J22" s="4" t="str">
        <f t="shared" si="2"/>
        <v>Pass</v>
      </c>
      <c r="K22" s="4">
        <f>AVERAGEIFS(Table1[[Math]:[English]],Table1[[Math]:[English]],"&gt;60")</f>
        <v>79.924999999999997</v>
      </c>
      <c r="L22" s="17"/>
      <c r="M22" s="4"/>
      <c r="N22" s="4"/>
    </row>
    <row r="24" spans="1:17" x14ac:dyDescent="0.3">
      <c r="J24" s="4"/>
      <c r="K24" s="4"/>
      <c r="L24" s="4"/>
      <c r="M24" s="4"/>
      <c r="N24" s="4"/>
      <c r="O24" s="17"/>
      <c r="P24" s="4"/>
      <c r="Q24" s="4"/>
    </row>
    <row r="25" spans="1:17" ht="28.2" customHeight="1" x14ac:dyDescent="0.3">
      <c r="B25" s="7" t="s">
        <v>92</v>
      </c>
      <c r="C25" s="14">
        <v>300</v>
      </c>
      <c r="E25" s="30" t="s">
        <v>98</v>
      </c>
      <c r="F25" s="30"/>
      <c r="G25" s="14">
        <f>COUNTIF(Table1[Math], "&gt;50")</f>
        <v>19</v>
      </c>
    </row>
    <row r="26" spans="1:17" x14ac:dyDescent="0.3">
      <c r="E26" s="31"/>
      <c r="F26" s="31"/>
    </row>
    <row r="27" spans="1:17" ht="26.4" customHeight="1" x14ac:dyDescent="0.3"/>
    <row r="28" spans="1:17" ht="26.4" customHeight="1" x14ac:dyDescent="0.3">
      <c r="B28" s="30" t="s">
        <v>99</v>
      </c>
      <c r="C28" s="30"/>
      <c r="D28" s="14">
        <f>AVERAGEIFS(Table1[[Math]:[English]],Table1[[Math]:[English]],"&gt;60")</f>
        <v>79.924999999999997</v>
      </c>
      <c r="F28" s="30" t="s">
        <v>100</v>
      </c>
      <c r="G28" s="30"/>
    </row>
    <row r="29" spans="1:17" x14ac:dyDescent="0.3">
      <c r="F29" s="13">
        <v>1019</v>
      </c>
      <c r="G29" s="13" t="str">
        <f>VLOOKUP(F29,Table1[],2,)</f>
        <v>Student 19</v>
      </c>
    </row>
    <row r="30" spans="1:17" x14ac:dyDescent="0.3">
      <c r="F30" s="13">
        <v>1020</v>
      </c>
      <c r="G30" s="13" t="str">
        <f>VLOOKUP(F30,Table1[],2,)</f>
        <v>Student 20</v>
      </c>
    </row>
    <row r="31" spans="1:17" ht="14.4" customHeight="1" x14ac:dyDescent="0.3">
      <c r="B31" s="29"/>
      <c r="C31" s="29"/>
      <c r="D31" s="20"/>
      <c r="F31" s="13">
        <v>1004</v>
      </c>
      <c r="G31" s="13" t="str">
        <f>VLOOKUP(F31,Table1[],2,)</f>
        <v>Student 4</v>
      </c>
    </row>
    <row r="32" spans="1:17" x14ac:dyDescent="0.3">
      <c r="B32" s="29"/>
      <c r="C32" s="29"/>
      <c r="D32" s="20"/>
      <c r="F32" s="13">
        <v>1001</v>
      </c>
      <c r="G32" s="13" t="str">
        <f>VLOOKUP(F32,Table1[],2,)</f>
        <v>Student 1</v>
      </c>
    </row>
    <row r="35" spans="1:8" ht="15.6" customHeight="1" x14ac:dyDescent="0.3">
      <c r="A35" s="28" t="s">
        <v>121</v>
      </c>
      <c r="B35" s="28"/>
      <c r="C35" s="28"/>
      <c r="D35" s="28"/>
      <c r="E35" s="28"/>
      <c r="F35" s="28"/>
      <c r="G35" s="28"/>
      <c r="H35" s="28"/>
    </row>
    <row r="36" spans="1:8" ht="28.8" x14ac:dyDescent="0.3">
      <c r="A36" s="7" t="s">
        <v>0</v>
      </c>
      <c r="B36" s="7" t="s">
        <v>1</v>
      </c>
      <c r="C36" s="7" t="s">
        <v>2</v>
      </c>
      <c r="D36" s="7" t="s">
        <v>3</v>
      </c>
      <c r="E36" s="7" t="s">
        <v>4</v>
      </c>
      <c r="F36" s="23" t="s">
        <v>5</v>
      </c>
      <c r="G36" s="7" t="s">
        <v>92</v>
      </c>
      <c r="H36" s="25" t="s">
        <v>93</v>
      </c>
    </row>
    <row r="37" spans="1:8" x14ac:dyDescent="0.3">
      <c r="A37" s="13" cm="1">
        <f t="array" ref="A37:H38">_xlfn._xlws.FILTER(A3:H22,H3:H22&gt;=80,"No top performers")</f>
        <v>1012</v>
      </c>
      <c r="B37" s="13" t="str">
        <v>Student 12</v>
      </c>
      <c r="C37" s="13">
        <v>85</v>
      </c>
      <c r="D37" s="13">
        <v>89</v>
      </c>
      <c r="E37" s="13">
        <v>79</v>
      </c>
      <c r="F37" s="24">
        <v>45081</v>
      </c>
      <c r="G37" s="13">
        <v>253</v>
      </c>
      <c r="H37" s="40">
        <v>84.333333333333343</v>
      </c>
    </row>
    <row r="38" spans="1:8" x14ac:dyDescent="0.3">
      <c r="A38" s="4">
        <v>1013</v>
      </c>
      <c r="B38" s="4" t="str">
        <v>Student 13</v>
      </c>
      <c r="C38" s="4">
        <v>98</v>
      </c>
      <c r="D38" s="4">
        <v>90</v>
      </c>
      <c r="E38" s="4">
        <v>97</v>
      </c>
      <c r="F38" s="17">
        <v>45261</v>
      </c>
      <c r="G38" s="4">
        <v>285</v>
      </c>
      <c r="H38" s="4">
        <v>95</v>
      </c>
    </row>
  </sheetData>
  <mergeCells count="7">
    <mergeCell ref="A1:K1"/>
    <mergeCell ref="A35:H35"/>
    <mergeCell ref="B31:C32"/>
    <mergeCell ref="E25:F25"/>
    <mergeCell ref="E26:F26"/>
    <mergeCell ref="B28:C28"/>
    <mergeCell ref="F28:G28"/>
  </mergeCells>
  <phoneticPr fontId="9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3C9F-75F1-4ADD-A255-C25D9269ECB5}">
  <sheetPr>
    <tabColor theme="5"/>
  </sheetPr>
  <dimension ref="A1:K47"/>
  <sheetViews>
    <sheetView topLeftCell="A27" workbookViewId="0">
      <selection activeCell="E18" sqref="E18"/>
    </sheetView>
  </sheetViews>
  <sheetFormatPr defaultRowHeight="14.4" x14ac:dyDescent="0.3"/>
  <cols>
    <col min="1" max="1" width="9.33203125" customWidth="1"/>
    <col min="2" max="2" width="12.109375" customWidth="1"/>
    <col min="3" max="3" width="16.33203125" customWidth="1"/>
    <col min="4" max="4" width="12.88671875" customWidth="1"/>
    <col min="5" max="5" width="14" style="15" customWidth="1"/>
    <col min="6" max="6" width="20.5546875" customWidth="1"/>
    <col min="7" max="7" width="10.5546875" customWidth="1"/>
    <col min="8" max="8" width="12.88671875" bestFit="1" customWidth="1"/>
    <col min="9" max="9" width="17.33203125" customWidth="1"/>
    <col min="10" max="10" width="14.5546875" customWidth="1"/>
    <col min="11" max="11" width="15.33203125" customWidth="1"/>
  </cols>
  <sheetData>
    <row r="1" spans="1:11" ht="32.4" customHeight="1" x14ac:dyDescent="0.55000000000000004">
      <c r="A1" s="34" t="s">
        <v>61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33" customHeight="1" x14ac:dyDescent="0.3">
      <c r="A2" s="5" t="s">
        <v>26</v>
      </c>
      <c r="B2" s="5" t="s">
        <v>27</v>
      </c>
      <c r="C2" s="5" t="s">
        <v>28</v>
      </c>
      <c r="D2" s="5" t="s">
        <v>29</v>
      </c>
      <c r="E2" s="16" t="s">
        <v>30</v>
      </c>
      <c r="F2" s="5" t="s">
        <v>31</v>
      </c>
      <c r="G2" s="5" t="s">
        <v>95</v>
      </c>
      <c r="H2" s="5" t="s">
        <v>97</v>
      </c>
      <c r="I2" s="5" t="s">
        <v>118</v>
      </c>
      <c r="J2" s="5" t="s">
        <v>119</v>
      </c>
      <c r="K2" s="5" t="s">
        <v>120</v>
      </c>
    </row>
    <row r="3" spans="1:11" ht="20.399999999999999" customHeight="1" x14ac:dyDescent="0.3">
      <c r="A3" s="4">
        <v>2001</v>
      </c>
      <c r="B3" s="4" t="s">
        <v>32</v>
      </c>
      <c r="C3" s="4" t="s">
        <v>33</v>
      </c>
      <c r="D3" s="4" t="s">
        <v>34</v>
      </c>
      <c r="E3" s="6">
        <v>7048</v>
      </c>
      <c r="F3" s="17">
        <v>44927</v>
      </c>
      <c r="G3" s="4" t="str">
        <f>IF(E3&gt;=40000,"50",IF(E3&gt;=30000,"40",IF(E3&gt;=20000,"30",IF(E3&gt;=15000,"20",IF(E3&gt;=10000,"10",IF(E3&gt;=5000,"5","1"))))))</f>
        <v>5</v>
      </c>
      <c r="H3" s="4" t="str">
        <f t="shared" ref="H3:H22" si="0">IF(OR(E3&gt;10000,C3="South"),"Eligible","Not Eligible")</f>
        <v>Eligible</v>
      </c>
      <c r="I3" s="6">
        <f>ROUND(Table2[[#This Row],[Amount]],2)</f>
        <v>7048</v>
      </c>
      <c r="J3" s="6">
        <f>CEILING(Table2[[#This Row],[Amount]],100)</f>
        <v>7100</v>
      </c>
      <c r="K3" s="6">
        <f>FLOOR(Table2[[#This Row],[Amount]],100)</f>
        <v>7000</v>
      </c>
    </row>
    <row r="4" spans="1:11" ht="20.399999999999999" customHeight="1" x14ac:dyDescent="0.3">
      <c r="A4" s="4">
        <v>2002</v>
      </c>
      <c r="B4" s="4" t="s">
        <v>35</v>
      </c>
      <c r="C4" s="4" t="s">
        <v>36</v>
      </c>
      <c r="D4" s="4" t="s">
        <v>37</v>
      </c>
      <c r="E4" s="6">
        <v>17428</v>
      </c>
      <c r="F4" s="17">
        <v>44942</v>
      </c>
      <c r="G4" s="4" t="str">
        <f t="shared" ref="G4:G22" si="1">IF(E4&gt;=40000,"50",IF(E4&gt;=30000,"40",IF(E4&gt;=20000,"30",IF(E4&gt;=15000,"20",IF(E4&gt;=10000,"10",IF(E4&gt;=5000,"5","1"))))))</f>
        <v>20</v>
      </c>
      <c r="H4" s="4" t="str">
        <f t="shared" si="0"/>
        <v>Eligible</v>
      </c>
      <c r="I4" s="6">
        <f>ROUND(Table2[[#This Row],[Amount]],2)</f>
        <v>17428</v>
      </c>
      <c r="J4" s="6">
        <f>CEILING(Table2[[#This Row],[Amount]],100)</f>
        <v>17500</v>
      </c>
      <c r="K4" s="6">
        <f>FLOOR(Table2[[#This Row],[Amount]],100)</f>
        <v>17400</v>
      </c>
    </row>
    <row r="5" spans="1:11" ht="20.399999999999999" customHeight="1" x14ac:dyDescent="0.3">
      <c r="A5" s="4">
        <v>2003</v>
      </c>
      <c r="B5" s="4" t="s">
        <v>38</v>
      </c>
      <c r="C5" s="4" t="s">
        <v>33</v>
      </c>
      <c r="D5" s="4" t="s">
        <v>39</v>
      </c>
      <c r="E5" s="6">
        <v>23672</v>
      </c>
      <c r="F5" s="17">
        <v>44957</v>
      </c>
      <c r="G5" s="4" t="str">
        <f t="shared" si="1"/>
        <v>30</v>
      </c>
      <c r="H5" s="4" t="str">
        <f t="shared" si="0"/>
        <v>Eligible</v>
      </c>
      <c r="I5" s="6">
        <f>ROUND(Table2[[#This Row],[Amount]],2)</f>
        <v>23672</v>
      </c>
      <c r="J5" s="6">
        <f>CEILING(Table2[[#This Row],[Amount]],100)</f>
        <v>23700</v>
      </c>
      <c r="K5" s="6">
        <f>FLOOR(Table2[[#This Row],[Amount]],100)</f>
        <v>23600</v>
      </c>
    </row>
    <row r="6" spans="1:11" ht="20.399999999999999" customHeight="1" x14ac:dyDescent="0.3">
      <c r="A6" s="4">
        <v>2004</v>
      </c>
      <c r="B6" s="4" t="s">
        <v>35</v>
      </c>
      <c r="C6" s="4" t="s">
        <v>40</v>
      </c>
      <c r="D6" s="4" t="s">
        <v>41</v>
      </c>
      <c r="E6" s="6">
        <v>5264</v>
      </c>
      <c r="F6" s="17">
        <v>44972</v>
      </c>
      <c r="G6" s="4" t="str">
        <f t="shared" si="1"/>
        <v>5</v>
      </c>
      <c r="H6" s="4" t="str">
        <f t="shared" si="0"/>
        <v>Not Eligible</v>
      </c>
      <c r="I6" s="6">
        <f>ROUND(Table2[[#This Row],[Amount]],2)</f>
        <v>5264</v>
      </c>
      <c r="J6" s="6">
        <f>CEILING(Table2[[#This Row],[Amount]],100)</f>
        <v>5300</v>
      </c>
      <c r="K6" s="6">
        <f>FLOOR(Table2[[#This Row],[Amount]],100)</f>
        <v>5200</v>
      </c>
    </row>
    <row r="7" spans="1:11" ht="20.399999999999999" customHeight="1" x14ac:dyDescent="0.3">
      <c r="A7" s="4">
        <v>2005</v>
      </c>
      <c r="B7" s="4" t="s">
        <v>32</v>
      </c>
      <c r="C7" s="4" t="s">
        <v>42</v>
      </c>
      <c r="D7" s="4" t="s">
        <v>43</v>
      </c>
      <c r="E7" s="6">
        <v>43388</v>
      </c>
      <c r="F7" s="17">
        <v>44987</v>
      </c>
      <c r="G7" s="4" t="str">
        <f t="shared" si="1"/>
        <v>50</v>
      </c>
      <c r="H7" s="4" t="str">
        <f t="shared" si="0"/>
        <v>Eligible</v>
      </c>
      <c r="I7" s="6">
        <f>ROUND(Table2[[#This Row],[Amount]],2)</f>
        <v>43388</v>
      </c>
      <c r="J7" s="6">
        <f>CEILING(Table2[[#This Row],[Amount]],100)</f>
        <v>43400</v>
      </c>
      <c r="K7" s="6">
        <f>FLOOR(Table2[[#This Row],[Amount]],100)</f>
        <v>43300</v>
      </c>
    </row>
    <row r="8" spans="1:11" ht="20.399999999999999" customHeight="1" x14ac:dyDescent="0.3">
      <c r="A8" s="4">
        <v>2006</v>
      </c>
      <c r="B8" s="4" t="s">
        <v>38</v>
      </c>
      <c r="C8" s="4" t="s">
        <v>42</v>
      </c>
      <c r="D8" s="4" t="s">
        <v>44</v>
      </c>
      <c r="E8" s="6">
        <v>19757</v>
      </c>
      <c r="F8" s="17">
        <v>45002</v>
      </c>
      <c r="G8" s="4" t="str">
        <f t="shared" si="1"/>
        <v>20</v>
      </c>
      <c r="H8" s="4" t="str">
        <f t="shared" si="0"/>
        <v>Eligible</v>
      </c>
      <c r="I8" s="6">
        <f>ROUND(Table2[[#This Row],[Amount]],2)</f>
        <v>19757</v>
      </c>
      <c r="J8" s="6">
        <f>CEILING(Table2[[#This Row],[Amount]],100)</f>
        <v>19800</v>
      </c>
      <c r="K8" s="6">
        <f>FLOOR(Table2[[#This Row],[Amount]],100)</f>
        <v>19700</v>
      </c>
    </row>
    <row r="9" spans="1:11" ht="20.399999999999999" customHeight="1" x14ac:dyDescent="0.3">
      <c r="A9" s="4">
        <v>2007</v>
      </c>
      <c r="B9" s="4" t="s">
        <v>38</v>
      </c>
      <c r="C9" s="4" t="s">
        <v>40</v>
      </c>
      <c r="D9" s="4" t="s">
        <v>45</v>
      </c>
      <c r="E9" s="6">
        <v>32058</v>
      </c>
      <c r="F9" s="17">
        <v>45017</v>
      </c>
      <c r="G9" s="4" t="str">
        <f t="shared" si="1"/>
        <v>40</v>
      </c>
      <c r="H9" s="4" t="str">
        <f t="shared" si="0"/>
        <v>Eligible</v>
      </c>
      <c r="I9" s="6">
        <f>ROUND(Table2[[#This Row],[Amount]],2)</f>
        <v>32058</v>
      </c>
      <c r="J9" s="6">
        <f>CEILING(Table2[[#This Row],[Amount]],100)</f>
        <v>32100</v>
      </c>
      <c r="K9" s="6">
        <f>FLOOR(Table2[[#This Row],[Amount]],100)</f>
        <v>32000</v>
      </c>
    </row>
    <row r="10" spans="1:11" ht="20.399999999999999" customHeight="1" x14ac:dyDescent="0.3">
      <c r="A10" s="4">
        <v>2008</v>
      </c>
      <c r="B10" s="4" t="s">
        <v>32</v>
      </c>
      <c r="C10" s="4" t="s">
        <v>40</v>
      </c>
      <c r="D10" s="4" t="s">
        <v>46</v>
      </c>
      <c r="E10" s="6">
        <v>46429</v>
      </c>
      <c r="F10" s="17">
        <v>45032</v>
      </c>
      <c r="G10" s="4" t="str">
        <f t="shared" si="1"/>
        <v>50</v>
      </c>
      <c r="H10" s="4" t="str">
        <f t="shared" si="0"/>
        <v>Eligible</v>
      </c>
      <c r="I10" s="6">
        <f>ROUND(Table2[[#This Row],[Amount]],2)</f>
        <v>46429</v>
      </c>
      <c r="J10" s="6">
        <f>CEILING(Table2[[#This Row],[Amount]],100)</f>
        <v>46500</v>
      </c>
      <c r="K10" s="6">
        <f>FLOOR(Table2[[#This Row],[Amount]],100)</f>
        <v>46400</v>
      </c>
    </row>
    <row r="11" spans="1:11" ht="20.399999999999999" customHeight="1" x14ac:dyDescent="0.3">
      <c r="A11" s="4">
        <v>2009</v>
      </c>
      <c r="B11" s="4" t="s">
        <v>35</v>
      </c>
      <c r="C11" s="4" t="s">
        <v>40</v>
      </c>
      <c r="D11" s="4" t="s">
        <v>47</v>
      </c>
      <c r="E11" s="6">
        <v>19746</v>
      </c>
      <c r="F11" s="17">
        <v>45047</v>
      </c>
      <c r="G11" s="4" t="str">
        <f t="shared" si="1"/>
        <v>20</v>
      </c>
      <c r="H11" s="4" t="str">
        <f t="shared" si="0"/>
        <v>Eligible</v>
      </c>
      <c r="I11" s="6">
        <f>ROUND(Table2[[#This Row],[Amount]],2)</f>
        <v>19746</v>
      </c>
      <c r="J11" s="6">
        <f>CEILING(Table2[[#This Row],[Amount]],100)</f>
        <v>19800</v>
      </c>
      <c r="K11" s="6">
        <f>FLOOR(Table2[[#This Row],[Amount]],100)</f>
        <v>19700</v>
      </c>
    </row>
    <row r="12" spans="1:11" ht="20.399999999999999" customHeight="1" x14ac:dyDescent="0.3">
      <c r="A12" s="4">
        <v>2010</v>
      </c>
      <c r="B12" s="4" t="s">
        <v>32</v>
      </c>
      <c r="C12" s="4" t="s">
        <v>33</v>
      </c>
      <c r="D12" s="4" t="s">
        <v>48</v>
      </c>
      <c r="E12" s="6">
        <v>35185</v>
      </c>
      <c r="F12" s="17">
        <v>45062</v>
      </c>
      <c r="G12" s="4" t="str">
        <f t="shared" si="1"/>
        <v>40</v>
      </c>
      <c r="H12" s="4" t="str">
        <f t="shared" si="0"/>
        <v>Eligible</v>
      </c>
      <c r="I12" s="6">
        <f>ROUND(Table2[[#This Row],[Amount]],2)</f>
        <v>35185</v>
      </c>
      <c r="J12" s="6">
        <f>CEILING(Table2[[#This Row],[Amount]],100)</f>
        <v>35200</v>
      </c>
      <c r="K12" s="6">
        <f>FLOOR(Table2[[#This Row],[Amount]],100)</f>
        <v>35100</v>
      </c>
    </row>
    <row r="13" spans="1:11" ht="20.399999999999999" customHeight="1" x14ac:dyDescent="0.3">
      <c r="A13" s="4">
        <v>2011</v>
      </c>
      <c r="B13" s="4" t="s">
        <v>32</v>
      </c>
      <c r="C13" s="4" t="s">
        <v>40</v>
      </c>
      <c r="D13" s="4" t="s">
        <v>49</v>
      </c>
      <c r="E13" s="6">
        <v>33920</v>
      </c>
      <c r="F13" s="17">
        <v>45077</v>
      </c>
      <c r="G13" s="4" t="str">
        <f t="shared" si="1"/>
        <v>40</v>
      </c>
      <c r="H13" s="4" t="str">
        <f t="shared" si="0"/>
        <v>Eligible</v>
      </c>
      <c r="I13" s="6">
        <f>ROUND(Table2[[#This Row],[Amount]],2)</f>
        <v>33920</v>
      </c>
      <c r="J13" s="6">
        <f>CEILING(Table2[[#This Row],[Amount]],100)</f>
        <v>34000</v>
      </c>
      <c r="K13" s="6">
        <f>FLOOR(Table2[[#This Row],[Amount]],100)</f>
        <v>33900</v>
      </c>
    </row>
    <row r="14" spans="1:11" ht="20.399999999999999" customHeight="1" x14ac:dyDescent="0.3">
      <c r="A14" s="4">
        <v>2012</v>
      </c>
      <c r="B14" s="4" t="s">
        <v>50</v>
      </c>
      <c r="C14" s="4" t="s">
        <v>42</v>
      </c>
      <c r="D14" s="4" t="s">
        <v>51</v>
      </c>
      <c r="E14" s="6">
        <v>35611</v>
      </c>
      <c r="F14" s="17">
        <v>45092</v>
      </c>
      <c r="G14" s="4" t="str">
        <f t="shared" si="1"/>
        <v>40</v>
      </c>
      <c r="H14" s="4" t="str">
        <f t="shared" si="0"/>
        <v>Eligible</v>
      </c>
      <c r="I14" s="6">
        <f>ROUND(Table2[[#This Row],[Amount]],2)</f>
        <v>35611</v>
      </c>
      <c r="J14" s="6">
        <f>CEILING(Table2[[#This Row],[Amount]],100)</f>
        <v>35700</v>
      </c>
      <c r="K14" s="6">
        <f>FLOOR(Table2[[#This Row],[Amount]],100)</f>
        <v>35600</v>
      </c>
    </row>
    <row r="15" spans="1:11" ht="20.399999999999999" customHeight="1" x14ac:dyDescent="0.3">
      <c r="A15" s="4">
        <v>2013</v>
      </c>
      <c r="B15" s="4" t="s">
        <v>52</v>
      </c>
      <c r="C15" s="4" t="s">
        <v>40</v>
      </c>
      <c r="D15" s="4" t="s">
        <v>53</v>
      </c>
      <c r="E15" s="6">
        <v>15560</v>
      </c>
      <c r="F15" s="17">
        <v>45107</v>
      </c>
      <c r="G15" s="4" t="str">
        <f t="shared" si="1"/>
        <v>20</v>
      </c>
      <c r="H15" s="4" t="str">
        <f t="shared" si="0"/>
        <v>Eligible</v>
      </c>
      <c r="I15" s="6">
        <f>ROUND(Table2[[#This Row],[Amount]],2)</f>
        <v>15560</v>
      </c>
      <c r="J15" s="6">
        <f>CEILING(Table2[[#This Row],[Amount]],100)</f>
        <v>15600</v>
      </c>
      <c r="K15" s="6">
        <f>FLOOR(Table2[[#This Row],[Amount]],100)</f>
        <v>15500</v>
      </c>
    </row>
    <row r="16" spans="1:11" ht="20.399999999999999" customHeight="1" x14ac:dyDescent="0.3">
      <c r="A16" s="4">
        <v>2014</v>
      </c>
      <c r="B16" s="4" t="s">
        <v>52</v>
      </c>
      <c r="C16" s="4" t="s">
        <v>33</v>
      </c>
      <c r="D16" s="4" t="s">
        <v>54</v>
      </c>
      <c r="E16" s="6">
        <v>7283</v>
      </c>
      <c r="F16" s="17">
        <v>45122</v>
      </c>
      <c r="G16" s="4" t="str">
        <f t="shared" si="1"/>
        <v>5</v>
      </c>
      <c r="H16" s="4" t="str">
        <f t="shared" si="0"/>
        <v>Eligible</v>
      </c>
      <c r="I16" s="6">
        <f>ROUND(Table2[[#This Row],[Amount]],2)</f>
        <v>7283</v>
      </c>
      <c r="J16" s="6">
        <f>CEILING(Table2[[#This Row],[Amount]],100)</f>
        <v>7300</v>
      </c>
      <c r="K16" s="6">
        <f>FLOOR(Table2[[#This Row],[Amount]],100)</f>
        <v>7200</v>
      </c>
    </row>
    <row r="17" spans="1:11" ht="20.399999999999999" customHeight="1" x14ac:dyDescent="0.3">
      <c r="A17" s="4">
        <v>2015</v>
      </c>
      <c r="B17" s="4" t="s">
        <v>52</v>
      </c>
      <c r="C17" s="4" t="s">
        <v>40</v>
      </c>
      <c r="D17" s="4" t="s">
        <v>55</v>
      </c>
      <c r="E17" s="6">
        <v>15678</v>
      </c>
      <c r="F17" s="17">
        <v>45137</v>
      </c>
      <c r="G17" s="4" t="str">
        <f t="shared" si="1"/>
        <v>20</v>
      </c>
      <c r="H17" s="4" t="str">
        <f t="shared" si="0"/>
        <v>Eligible</v>
      </c>
      <c r="I17" s="6">
        <f>ROUND(Table2[[#This Row],[Amount]],2)</f>
        <v>15678</v>
      </c>
      <c r="J17" s="6">
        <f>CEILING(Table2[[#This Row],[Amount]],100)</f>
        <v>15700</v>
      </c>
      <c r="K17" s="6">
        <f>FLOOR(Table2[[#This Row],[Amount]],100)</f>
        <v>15600</v>
      </c>
    </row>
    <row r="18" spans="1:11" ht="20.399999999999999" customHeight="1" x14ac:dyDescent="0.3">
      <c r="A18" s="4">
        <v>2016</v>
      </c>
      <c r="B18" s="4" t="s">
        <v>38</v>
      </c>
      <c r="C18" s="4" t="s">
        <v>40</v>
      </c>
      <c r="D18" s="4" t="s">
        <v>56</v>
      </c>
      <c r="E18" s="6">
        <v>5277</v>
      </c>
      <c r="F18" s="17">
        <v>45152</v>
      </c>
      <c r="G18" s="4" t="str">
        <f t="shared" si="1"/>
        <v>5</v>
      </c>
      <c r="H18" s="4" t="str">
        <f t="shared" si="0"/>
        <v>Not Eligible</v>
      </c>
      <c r="I18" s="6">
        <f>ROUND(Table2[[#This Row],[Amount]],2)</f>
        <v>5277</v>
      </c>
      <c r="J18" s="6">
        <f>CEILING(Table2[[#This Row],[Amount]],100)</f>
        <v>5300</v>
      </c>
      <c r="K18" s="6">
        <f>FLOOR(Table2[[#This Row],[Amount]],100)</f>
        <v>5200</v>
      </c>
    </row>
    <row r="19" spans="1:11" ht="20.399999999999999" customHeight="1" x14ac:dyDescent="0.3">
      <c r="A19" s="4">
        <v>2017</v>
      </c>
      <c r="B19" s="4" t="s">
        <v>50</v>
      </c>
      <c r="C19" s="4" t="s">
        <v>42</v>
      </c>
      <c r="D19" s="4" t="s">
        <v>57</v>
      </c>
      <c r="E19" s="6">
        <v>41871</v>
      </c>
      <c r="F19" s="17">
        <v>45167</v>
      </c>
      <c r="G19" s="4" t="str">
        <f t="shared" si="1"/>
        <v>50</v>
      </c>
      <c r="H19" s="4" t="str">
        <f t="shared" si="0"/>
        <v>Eligible</v>
      </c>
      <c r="I19" s="6">
        <f>ROUND(Table2[[#This Row],[Amount]],2)</f>
        <v>41871</v>
      </c>
      <c r="J19" s="6">
        <f>CEILING(Table2[[#This Row],[Amount]],100)</f>
        <v>41900</v>
      </c>
      <c r="K19" s="6">
        <f>FLOOR(Table2[[#This Row],[Amount]],100)</f>
        <v>41800</v>
      </c>
    </row>
    <row r="20" spans="1:11" ht="20.399999999999999" customHeight="1" x14ac:dyDescent="0.3">
      <c r="A20" s="4">
        <v>2018</v>
      </c>
      <c r="B20" s="4" t="s">
        <v>50</v>
      </c>
      <c r="C20" s="4" t="s">
        <v>36</v>
      </c>
      <c r="D20" s="4" t="s">
        <v>58</v>
      </c>
      <c r="E20" s="6">
        <v>38161</v>
      </c>
      <c r="F20" s="17">
        <v>45182</v>
      </c>
      <c r="G20" s="4" t="str">
        <f t="shared" si="1"/>
        <v>40</v>
      </c>
      <c r="H20" s="4" t="str">
        <f t="shared" si="0"/>
        <v>Eligible</v>
      </c>
      <c r="I20" s="6">
        <f>ROUND(Table2[[#This Row],[Amount]],2)</f>
        <v>38161</v>
      </c>
      <c r="J20" s="6">
        <f>CEILING(Table2[[#This Row],[Amount]],100)</f>
        <v>38200</v>
      </c>
      <c r="K20" s="6">
        <f>FLOOR(Table2[[#This Row],[Amount]],100)</f>
        <v>38100</v>
      </c>
    </row>
    <row r="21" spans="1:11" ht="20.399999999999999" customHeight="1" x14ac:dyDescent="0.3">
      <c r="A21" s="4">
        <v>2019</v>
      </c>
      <c r="B21" s="4" t="s">
        <v>38</v>
      </c>
      <c r="C21" s="4" t="s">
        <v>36</v>
      </c>
      <c r="D21" s="4" t="s">
        <v>59</v>
      </c>
      <c r="E21" s="6">
        <v>30436</v>
      </c>
      <c r="F21" s="17">
        <v>45197</v>
      </c>
      <c r="G21" s="4" t="str">
        <f t="shared" si="1"/>
        <v>40</v>
      </c>
      <c r="H21" s="4" t="str">
        <f t="shared" si="0"/>
        <v>Eligible</v>
      </c>
      <c r="I21" s="6">
        <f>ROUND(Table2[[#This Row],[Amount]],2)</f>
        <v>30436</v>
      </c>
      <c r="J21" s="6">
        <f>CEILING(Table2[[#This Row],[Amount]],100)</f>
        <v>30500</v>
      </c>
      <c r="K21" s="6">
        <f>FLOOR(Table2[[#This Row],[Amount]],100)</f>
        <v>30400</v>
      </c>
    </row>
    <row r="22" spans="1:11" ht="20.399999999999999" customHeight="1" x14ac:dyDescent="0.3">
      <c r="A22" s="4">
        <v>2020</v>
      </c>
      <c r="B22" s="4" t="s">
        <v>35</v>
      </c>
      <c r="C22" s="4" t="s">
        <v>36</v>
      </c>
      <c r="D22" s="4" t="s">
        <v>60</v>
      </c>
      <c r="E22" s="6">
        <v>33953</v>
      </c>
      <c r="F22" s="17">
        <v>45212</v>
      </c>
      <c r="G22" s="4" t="str">
        <f t="shared" si="1"/>
        <v>40</v>
      </c>
      <c r="H22" s="4" t="str">
        <f t="shared" si="0"/>
        <v>Eligible</v>
      </c>
      <c r="I22" s="6">
        <f>ROUND(Table2[[#This Row],[Amount]],2)</f>
        <v>33953</v>
      </c>
      <c r="J22" s="6">
        <f>CEILING(Table2[[#This Row],[Amount]],100)</f>
        <v>34000</v>
      </c>
      <c r="K22" s="6">
        <f>FLOOR(Table2[[#This Row],[Amount]],100)</f>
        <v>33900</v>
      </c>
    </row>
    <row r="23" spans="1:11" x14ac:dyDescent="0.3">
      <c r="E23" s="27"/>
    </row>
    <row r="25" spans="1:11" ht="29.4" customHeight="1" x14ac:dyDescent="0.3">
      <c r="B25" s="33" t="s">
        <v>102</v>
      </c>
      <c r="C25" s="33"/>
      <c r="E25" s="33" t="s">
        <v>101</v>
      </c>
      <c r="F25" s="33"/>
      <c r="H25" s="33" t="s">
        <v>103</v>
      </c>
      <c r="I25" s="33"/>
      <c r="J25" s="33"/>
    </row>
    <row r="26" spans="1:11" x14ac:dyDescent="0.3">
      <c r="B26" s="3" t="s">
        <v>52</v>
      </c>
      <c r="C26" s="3">
        <f>SUMIFS(Table2[Amount], Table2[Product],"Laptop")</f>
        <v>38521</v>
      </c>
      <c r="E26" s="3">
        <v>2020</v>
      </c>
      <c r="F26" s="3" t="str">
        <f>VLOOKUP(E26,Table2[],2,)</f>
        <v>Printer</v>
      </c>
      <c r="H26" s="3" t="s">
        <v>41</v>
      </c>
      <c r="I26" s="3" t="s">
        <v>104</v>
      </c>
      <c r="J26" s="22" cm="1">
        <f t="array" ref="J26">INDEX($E$3:$E$22,MATCH(1,(D3:D22=H26)*(TEXT(F3:F22,"mmmm")=I26),0))</f>
        <v>5264</v>
      </c>
    </row>
    <row r="27" spans="1:11" x14ac:dyDescent="0.3">
      <c r="B27" s="4" t="s">
        <v>38</v>
      </c>
      <c r="C27" s="4">
        <f>SUMIFS(Table2[Amount], Table2[Product],"Mouse")</f>
        <v>111200</v>
      </c>
      <c r="E27" s="4">
        <v>2018</v>
      </c>
      <c r="F27" s="4" t="str">
        <f>VLOOKUP(E27,Table2[],2,)</f>
        <v>Monitor</v>
      </c>
      <c r="H27" s="4" t="s">
        <v>43</v>
      </c>
      <c r="I27" s="4" t="s">
        <v>105</v>
      </c>
      <c r="J27" s="6" cm="1">
        <f t="array" ref="J27">INDEX($E$3:$E$22,MATCH(1,(D3:D22=H27)*(TEXT(F3:F22,"mmmm")=I27),0))</f>
        <v>43388</v>
      </c>
    </row>
    <row r="28" spans="1:11" x14ac:dyDescent="0.3">
      <c r="B28" s="3" t="s">
        <v>32</v>
      </c>
      <c r="C28" s="3">
        <f>SUMIFS(Table2[Amount], Table2[Product],"Keyboard")</f>
        <v>165970</v>
      </c>
      <c r="E28" s="3">
        <v>2005</v>
      </c>
      <c r="F28" s="3" t="str">
        <f>VLOOKUP(E28,Table2[],2,)</f>
        <v>Keyboard</v>
      </c>
      <c r="H28" s="3" t="s">
        <v>44</v>
      </c>
      <c r="I28" s="3" t="s">
        <v>105</v>
      </c>
      <c r="J28" s="22" cm="1">
        <f t="array" ref="J28">INDEX($E$3:$E$22,MATCH(1,(D3:D22=H28)*(TEXT(F3:F22,"mmmm")=I28),0))</f>
        <v>19757</v>
      </c>
    </row>
    <row r="29" spans="1:11" x14ac:dyDescent="0.3">
      <c r="B29" s="4" t="s">
        <v>50</v>
      </c>
      <c r="C29" s="4">
        <f>SUMIFS(Table2[Amount], Table2[Product],"Monitor")</f>
        <v>115643</v>
      </c>
      <c r="E29" s="4">
        <v>2004</v>
      </c>
      <c r="F29" s="4" t="str">
        <f>VLOOKUP(E29,Table2[],2,)</f>
        <v>Printer</v>
      </c>
      <c r="H29" s="4" t="s">
        <v>45</v>
      </c>
      <c r="I29" s="4" t="s">
        <v>106</v>
      </c>
      <c r="J29" s="6" cm="1">
        <f t="array" ref="J29">INDEX($E$3:$E$22,MATCH(1,(D3:D22=H29)*(TEXT(F3:F22,"mmmm")=I29),0))</f>
        <v>32058</v>
      </c>
    </row>
    <row r="30" spans="1:11" x14ac:dyDescent="0.3">
      <c r="B30" s="3" t="s">
        <v>35</v>
      </c>
      <c r="C30" s="3">
        <f>SUMIFS(Table2[Amount], Table2[Product],"Printer")</f>
        <v>76391</v>
      </c>
      <c r="E30" s="3">
        <v>2001</v>
      </c>
      <c r="F30" s="3" t="str">
        <f>VLOOKUP(E30,Table2[],2,)</f>
        <v>Keyboard</v>
      </c>
      <c r="H30" s="3" t="s">
        <v>46</v>
      </c>
      <c r="I30" s="3" t="s">
        <v>106</v>
      </c>
      <c r="J30" s="22" cm="1">
        <f t="array" ref="J30">INDEX($E$3:$E$22,MATCH(1,(D3:D22=H30)*(TEXT(F3:F22,"mmmm")=I30),0))</f>
        <v>46429</v>
      </c>
    </row>
    <row r="34" spans="2:11" ht="14.4" customHeight="1" x14ac:dyDescent="0.3">
      <c r="B34" s="33" t="s">
        <v>110</v>
      </c>
      <c r="C34" s="33"/>
      <c r="D34" s="33"/>
      <c r="F34" s="33" t="s">
        <v>112</v>
      </c>
      <c r="G34" s="33"/>
      <c r="I34" s="33" t="s">
        <v>114</v>
      </c>
      <c r="J34" s="33"/>
      <c r="K34" s="20"/>
    </row>
    <row r="35" spans="2:11" x14ac:dyDescent="0.3">
      <c r="B35" s="33"/>
      <c r="C35" s="33"/>
      <c r="D35" s="33"/>
      <c r="F35" s="33"/>
      <c r="G35" s="33"/>
      <c r="I35" s="33"/>
      <c r="J35" s="33"/>
      <c r="K35" s="20"/>
    </row>
    <row r="36" spans="2:11" x14ac:dyDescent="0.3">
      <c r="B36" s="3" t="s">
        <v>45</v>
      </c>
      <c r="C36" s="3" t="s">
        <v>95</v>
      </c>
      <c r="D36" s="3" t="str" cm="1">
        <f t="array" ref="D36">_xlfn.XLOOKUP(B36,$D$3:$D$22,_xlfn.XLOOKUP(C36,$A$2:$H$2,$A$3:$H$22),"Not Found")</f>
        <v>40</v>
      </c>
      <c r="F36" s="3" t="s">
        <v>35</v>
      </c>
      <c r="G36" s="3">
        <f>_xlfn.XMATCH(F36,Table2[Product],0)</f>
        <v>2</v>
      </c>
      <c r="I36" s="3" t="s">
        <v>115</v>
      </c>
      <c r="J36" s="22">
        <f ca="1">SUM(INDIRECT("E3:E22"))</f>
        <v>507725</v>
      </c>
    </row>
    <row r="37" spans="2:11" x14ac:dyDescent="0.3">
      <c r="B37" s="4" t="s">
        <v>46</v>
      </c>
      <c r="C37" s="4" t="s">
        <v>28</v>
      </c>
      <c r="D37" s="4" t="str" cm="1">
        <f t="array" ref="D37">_xlfn.XLOOKUP(B37,$D$3:$D$22,_xlfn.XLOOKUP(C37,$A$2:$H$2,$A$3:$H$22),"Not Found")</f>
        <v>East</v>
      </c>
      <c r="F37" s="4" t="s">
        <v>52</v>
      </c>
      <c r="G37" s="4">
        <f>_xlfn.XMATCH(F37,Table2[Product],0)</f>
        <v>13</v>
      </c>
      <c r="J37" s="21"/>
    </row>
    <row r="38" spans="2:11" x14ac:dyDescent="0.3">
      <c r="B38" s="3" t="s">
        <v>47</v>
      </c>
      <c r="C38" s="3" t="s">
        <v>27</v>
      </c>
      <c r="D38" s="3" t="str" cm="1">
        <f t="array" ref="D38">_xlfn.XLOOKUP(B38,$D$3:$D$22,_xlfn.XLOOKUP(C38,$A$2:$H$2,$A$3:$H$22),"Not Found")</f>
        <v>Printer</v>
      </c>
      <c r="F38" s="3" t="s">
        <v>38</v>
      </c>
      <c r="G38" s="3">
        <f>_xlfn.XMATCH(F38,Table2[Product],0)</f>
        <v>3</v>
      </c>
    </row>
    <row r="39" spans="2:11" x14ac:dyDescent="0.3">
      <c r="B39" s="4" t="s">
        <v>48</v>
      </c>
      <c r="C39" s="4" t="s">
        <v>31</v>
      </c>
      <c r="D39" s="4" cm="1">
        <f t="array" ref="D39">_xlfn.XLOOKUP(B39,$D$3:$D$22,_xlfn.XLOOKUP(C39,$A$2:$H$2,$A$3:$H$22),"Not Found")</f>
        <v>45062</v>
      </c>
      <c r="F39" s="4" t="s">
        <v>50</v>
      </c>
      <c r="G39" s="4">
        <f>_xlfn.XMATCH(F39,Table2[Product],0)</f>
        <v>12</v>
      </c>
    </row>
    <row r="40" spans="2:11" x14ac:dyDescent="0.3">
      <c r="B40" s="3" t="s">
        <v>49</v>
      </c>
      <c r="C40" s="3" t="s">
        <v>30</v>
      </c>
      <c r="D40" s="3" cm="1">
        <f t="array" ref="D40">_xlfn.XLOOKUP(B40,$D$3:$D$22,_xlfn.XLOOKUP(C40,$A$2:$H$2,$A$3:$H$22),"Not Found")</f>
        <v>33920</v>
      </c>
      <c r="F40" s="3" t="s">
        <v>32</v>
      </c>
      <c r="G40" s="3">
        <f>_xlfn.XMATCH(F40,Table2[Product],0)</f>
        <v>1</v>
      </c>
    </row>
    <row r="41" spans="2:11" x14ac:dyDescent="0.3">
      <c r="B41" s="4" t="s">
        <v>51</v>
      </c>
      <c r="C41" s="4" t="s">
        <v>97</v>
      </c>
      <c r="D41" s="4" t="str" cm="1">
        <f t="array" ref="D41">_xlfn.XLOOKUP(B41,$D$3:$D$22,_xlfn.XLOOKUP(C41,$A$2:$H$2,$A$3:$H$22),"Not Found")</f>
        <v>Eligible</v>
      </c>
    </row>
    <row r="42" spans="2:11" x14ac:dyDescent="0.3">
      <c r="B42" s="3" t="s">
        <v>53</v>
      </c>
      <c r="C42" s="3" t="s">
        <v>26</v>
      </c>
      <c r="D42" s="3" cm="1">
        <f t="array" ref="D42">_xlfn.XLOOKUP(B42,$D$3:$D$22,_xlfn.XLOOKUP(C42,$A$2:$H$2,$A$3:$H$22),"Not Found")</f>
        <v>2013</v>
      </c>
    </row>
    <row r="45" spans="2:11" ht="14.4" customHeight="1" x14ac:dyDescent="0.3">
      <c r="B45" s="33" t="s">
        <v>113</v>
      </c>
      <c r="C45" s="33"/>
    </row>
    <row r="46" spans="2:11" x14ac:dyDescent="0.3">
      <c r="B46" s="33"/>
      <c r="C46" s="33"/>
    </row>
    <row r="47" spans="2:11" x14ac:dyDescent="0.3">
      <c r="B47" s="3" t="s">
        <v>115</v>
      </c>
      <c r="C47" s="22">
        <f ca="1">SUM(OFFSET(Table2[[#Headers],[Amount]],1,0,COUNTA(Table2[Amount]),1))</f>
        <v>507725</v>
      </c>
    </row>
  </sheetData>
  <mergeCells count="8">
    <mergeCell ref="I34:J35"/>
    <mergeCell ref="B45:C46"/>
    <mergeCell ref="A1:K1"/>
    <mergeCell ref="B34:D35"/>
    <mergeCell ref="F34:G35"/>
    <mergeCell ref="B25:C25"/>
    <mergeCell ref="E25:F25"/>
    <mergeCell ref="H25:J25"/>
  </mergeCells>
  <phoneticPr fontId="9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A89BC-F5AE-4D43-95FE-AC258EB202E6}">
  <sheetPr>
    <tabColor rgb="FF00B050"/>
  </sheetPr>
  <dimension ref="A1:K38"/>
  <sheetViews>
    <sheetView topLeftCell="A25" workbookViewId="0">
      <selection activeCell="C5" sqref="C5"/>
    </sheetView>
  </sheetViews>
  <sheetFormatPr defaultRowHeight="14.4" x14ac:dyDescent="0.3"/>
  <cols>
    <col min="1" max="1" width="13.44140625" customWidth="1"/>
    <col min="2" max="2" width="13.5546875" customWidth="1"/>
    <col min="3" max="3" width="13" customWidth="1"/>
    <col min="4" max="4" width="17.6640625" style="1" customWidth="1"/>
    <col min="5" max="5" width="21.21875" customWidth="1"/>
    <col min="6" max="6" width="16.109375" customWidth="1"/>
    <col min="7" max="7" width="10.33203125" customWidth="1"/>
    <col min="8" max="8" width="21.33203125" customWidth="1"/>
  </cols>
  <sheetData>
    <row r="1" spans="1:11" ht="32.4" customHeight="1" x14ac:dyDescent="0.55000000000000004">
      <c r="A1" s="39" t="s">
        <v>91</v>
      </c>
      <c r="B1" s="39"/>
      <c r="C1" s="39"/>
      <c r="D1" s="39"/>
      <c r="E1" s="39"/>
      <c r="F1" s="39"/>
      <c r="G1" s="39"/>
      <c r="H1" s="39"/>
      <c r="J1" s="38"/>
      <c r="K1" s="38"/>
    </row>
    <row r="2" spans="1:11" ht="40.200000000000003" customHeight="1" x14ac:dyDescent="0.3">
      <c r="A2" s="10" t="s">
        <v>63</v>
      </c>
      <c r="B2" s="10" t="s">
        <v>1</v>
      </c>
      <c r="C2" s="10" t="s">
        <v>64</v>
      </c>
      <c r="D2" s="11" t="s">
        <v>65</v>
      </c>
      <c r="E2" s="10" t="s">
        <v>66</v>
      </c>
      <c r="F2" s="10" t="s">
        <v>116</v>
      </c>
      <c r="G2" s="10" t="s">
        <v>117</v>
      </c>
      <c r="H2" s="10" t="s">
        <v>122</v>
      </c>
      <c r="J2" s="38"/>
      <c r="K2" s="38"/>
    </row>
    <row r="3" spans="1:11" ht="20.399999999999999" customHeight="1" x14ac:dyDescent="0.3">
      <c r="A3" s="4">
        <v>3001</v>
      </c>
      <c r="B3" s="4" t="s">
        <v>67</v>
      </c>
      <c r="C3" s="4" t="s">
        <v>68</v>
      </c>
      <c r="D3" s="12">
        <v>86766</v>
      </c>
      <c r="E3" s="17">
        <v>42005</v>
      </c>
      <c r="F3" s="26">
        <v>34834</v>
      </c>
      <c r="G3" s="9">
        <f ca="1">DATEDIF(Table4[[#This Row],[Date of Birth]],TODAY(),"Y")</f>
        <v>31</v>
      </c>
      <c r="H3" s="9">
        <f>DATEDIF(Table4[[#This Row],[Date of Birth]],Table4[[#This Row],[Joining Date]],"D")</f>
        <v>7171</v>
      </c>
    </row>
    <row r="4" spans="1:11" ht="20.399999999999999" customHeight="1" x14ac:dyDescent="0.3">
      <c r="A4" s="4">
        <v>3002</v>
      </c>
      <c r="B4" s="4" t="s">
        <v>69</v>
      </c>
      <c r="C4" s="4" t="s">
        <v>68</v>
      </c>
      <c r="D4" s="12">
        <v>31943</v>
      </c>
      <c r="E4" s="17">
        <v>42255</v>
      </c>
      <c r="F4" s="26">
        <v>36029</v>
      </c>
      <c r="G4" s="9">
        <f ca="1">DATEDIF(Table4[[#This Row],[Date of Birth]],TODAY(),"Y")</f>
        <v>28</v>
      </c>
      <c r="H4" s="9">
        <f>DATEDIF(Table4[[#This Row],[Date of Birth]],Table4[[#This Row],[Joining Date]],"D")</f>
        <v>6226</v>
      </c>
    </row>
    <row r="5" spans="1:11" ht="20.399999999999999" customHeight="1" x14ac:dyDescent="0.3">
      <c r="A5" s="4">
        <v>3003</v>
      </c>
      <c r="B5" s="4" t="s">
        <v>70</v>
      </c>
      <c r="C5" s="4" t="s">
        <v>71</v>
      </c>
      <c r="D5" s="12">
        <v>63374</v>
      </c>
      <c r="E5" s="17">
        <v>42505</v>
      </c>
      <c r="F5" s="26">
        <v>36870</v>
      </c>
      <c r="G5" s="9">
        <f ca="1">DATEDIF(Table4[[#This Row],[Date of Birth]],TODAY(),"Y")</f>
        <v>25</v>
      </c>
      <c r="H5" s="9">
        <f>DATEDIF(Table4[[#This Row],[Date of Birth]],Table4[[#This Row],[Joining Date]],"D")</f>
        <v>5635</v>
      </c>
    </row>
    <row r="6" spans="1:11" ht="20.399999999999999" customHeight="1" x14ac:dyDescent="0.3">
      <c r="A6" s="4">
        <v>3004</v>
      </c>
      <c r="B6" s="4" t="s">
        <v>72</v>
      </c>
      <c r="C6" s="4" t="s">
        <v>68</v>
      </c>
      <c r="D6" s="12">
        <v>109972</v>
      </c>
      <c r="E6" s="17">
        <v>42755</v>
      </c>
      <c r="F6" s="26">
        <v>35486</v>
      </c>
      <c r="G6" s="9">
        <f ca="1">DATEDIF(Table4[[#This Row],[Date of Birth]],TODAY(),"Y")</f>
        <v>29</v>
      </c>
      <c r="H6" s="9">
        <f>DATEDIF(Table4[[#This Row],[Date of Birth]],Table4[[#This Row],[Joining Date]],"D")</f>
        <v>7269</v>
      </c>
    </row>
    <row r="7" spans="1:11" ht="20.399999999999999" customHeight="1" x14ac:dyDescent="0.3">
      <c r="A7" s="4">
        <v>3005</v>
      </c>
      <c r="B7" s="4" t="s">
        <v>73</v>
      </c>
      <c r="C7" s="4" t="s">
        <v>74</v>
      </c>
      <c r="D7" s="12">
        <v>54149</v>
      </c>
      <c r="E7" s="17">
        <v>43005</v>
      </c>
      <c r="F7" s="26">
        <v>36404</v>
      </c>
      <c r="G7" s="9">
        <f ca="1">DATEDIF(Table4[[#This Row],[Date of Birth]],TODAY(),"Y")</f>
        <v>27</v>
      </c>
      <c r="H7" s="9">
        <f>DATEDIF(Table4[[#This Row],[Date of Birth]],Table4[[#This Row],[Joining Date]],"D")</f>
        <v>6601</v>
      </c>
    </row>
    <row r="8" spans="1:11" ht="20.399999999999999" customHeight="1" x14ac:dyDescent="0.3">
      <c r="A8" s="4">
        <v>3006</v>
      </c>
      <c r="B8" s="4" t="s">
        <v>75</v>
      </c>
      <c r="C8" s="4" t="s">
        <v>74</v>
      </c>
      <c r="D8" s="12">
        <v>78689</v>
      </c>
      <c r="E8" s="17">
        <v>43255</v>
      </c>
      <c r="F8" s="26">
        <v>35173</v>
      </c>
      <c r="G8" s="9">
        <f ca="1">DATEDIF(Table4[[#This Row],[Date of Birth]],TODAY(),"Y")</f>
        <v>30</v>
      </c>
      <c r="H8" s="9">
        <f>DATEDIF(Table4[[#This Row],[Date of Birth]],Table4[[#This Row],[Joining Date]],"D")</f>
        <v>8082</v>
      </c>
    </row>
    <row r="9" spans="1:11" ht="20.399999999999999" customHeight="1" x14ac:dyDescent="0.3">
      <c r="A9" s="4">
        <v>3007</v>
      </c>
      <c r="B9" s="4" t="s">
        <v>76</v>
      </c>
      <c r="C9" s="4" t="s">
        <v>77</v>
      </c>
      <c r="D9" s="12">
        <v>35960</v>
      </c>
      <c r="E9" s="17">
        <v>43505</v>
      </c>
      <c r="F9" s="26">
        <v>37202</v>
      </c>
      <c r="G9" s="9">
        <f ca="1">DATEDIF(Table4[[#This Row],[Date of Birth]],TODAY(),"Y")</f>
        <v>24</v>
      </c>
      <c r="H9" s="9">
        <f>DATEDIF(Table4[[#This Row],[Date of Birth]],Table4[[#This Row],[Joining Date]],"D")</f>
        <v>6303</v>
      </c>
    </row>
    <row r="10" spans="1:11" ht="20.399999999999999" customHeight="1" x14ac:dyDescent="0.3">
      <c r="A10" s="4">
        <v>3008</v>
      </c>
      <c r="B10" s="4" t="s">
        <v>78</v>
      </c>
      <c r="C10" s="4" t="s">
        <v>74</v>
      </c>
      <c r="D10" s="12">
        <v>91659</v>
      </c>
      <c r="E10" s="17">
        <v>43755</v>
      </c>
      <c r="F10" s="26">
        <v>34499</v>
      </c>
      <c r="G10" s="9">
        <f ca="1">DATEDIF(Table4[[#This Row],[Date of Birth]],TODAY(),"Y")</f>
        <v>32</v>
      </c>
      <c r="H10" s="9">
        <f>DATEDIF(Table4[[#This Row],[Date of Birth]],Table4[[#This Row],[Joining Date]],"D")</f>
        <v>9256</v>
      </c>
    </row>
    <row r="11" spans="1:11" ht="20.399999999999999" customHeight="1" x14ac:dyDescent="0.3">
      <c r="A11" s="4">
        <v>3009</v>
      </c>
      <c r="B11" s="4" t="s">
        <v>79</v>
      </c>
      <c r="C11" s="4" t="s">
        <v>74</v>
      </c>
      <c r="D11" s="12">
        <v>90423</v>
      </c>
      <c r="E11" s="17">
        <v>44005</v>
      </c>
      <c r="F11" s="26">
        <v>37344</v>
      </c>
      <c r="G11" s="9">
        <f ca="1">DATEDIF(Table4[[#This Row],[Date of Birth]],TODAY(),"Y")</f>
        <v>24</v>
      </c>
      <c r="H11" s="9">
        <f>DATEDIF(Table4[[#This Row],[Date of Birth]],Table4[[#This Row],[Joining Date]],"D")</f>
        <v>6661</v>
      </c>
    </row>
    <row r="12" spans="1:11" ht="20.399999999999999" customHeight="1" x14ac:dyDescent="0.3">
      <c r="A12" s="4">
        <v>3010</v>
      </c>
      <c r="B12" s="4" t="s">
        <v>80</v>
      </c>
      <c r="C12" s="4" t="s">
        <v>71</v>
      </c>
      <c r="D12" s="12">
        <v>107877</v>
      </c>
      <c r="E12" s="17">
        <v>44255</v>
      </c>
      <c r="F12" s="26">
        <v>33974</v>
      </c>
      <c r="G12" s="9">
        <f ca="1">DATEDIF(Table4[[#This Row],[Date of Birth]],TODAY(),"Y")</f>
        <v>33</v>
      </c>
      <c r="H12" s="9">
        <f>DATEDIF(Table4[[#This Row],[Date of Birth]],Table4[[#This Row],[Joining Date]],"D")</f>
        <v>10281</v>
      </c>
    </row>
    <row r="13" spans="1:11" ht="20.399999999999999" customHeight="1" x14ac:dyDescent="0.3">
      <c r="A13" s="4">
        <v>3011</v>
      </c>
      <c r="B13" s="4" t="s">
        <v>81</v>
      </c>
      <c r="C13" s="4" t="s">
        <v>68</v>
      </c>
      <c r="D13" s="12">
        <v>107634</v>
      </c>
      <c r="E13" s="17">
        <v>44505</v>
      </c>
      <c r="F13" s="26">
        <v>35988</v>
      </c>
      <c r="G13" s="9">
        <f ca="1">DATEDIF(Table4[[#This Row],[Date of Birth]],TODAY(),"Y")</f>
        <v>28</v>
      </c>
      <c r="H13" s="9">
        <f>DATEDIF(Table4[[#This Row],[Date of Birth]],Table4[[#This Row],[Joining Date]],"D")</f>
        <v>8517</v>
      </c>
    </row>
    <row r="14" spans="1:11" ht="20.399999999999999" customHeight="1" x14ac:dyDescent="0.3">
      <c r="A14" s="4">
        <v>3012</v>
      </c>
      <c r="B14" s="4" t="s">
        <v>82</v>
      </c>
      <c r="C14" s="4" t="s">
        <v>68</v>
      </c>
      <c r="D14" s="12">
        <v>35226</v>
      </c>
      <c r="E14" s="17">
        <v>44755</v>
      </c>
      <c r="F14" s="26">
        <v>36819</v>
      </c>
      <c r="G14" s="9">
        <f ca="1">DATEDIF(Table4[[#This Row],[Date of Birth]],TODAY(),"Y")</f>
        <v>26</v>
      </c>
      <c r="H14" s="9">
        <f>DATEDIF(Table4[[#This Row],[Date of Birth]],Table4[[#This Row],[Joining Date]],"D")</f>
        <v>7936</v>
      </c>
    </row>
    <row r="15" spans="1:11" ht="20.399999999999999" customHeight="1" x14ac:dyDescent="0.3">
      <c r="A15" s="4">
        <v>3013</v>
      </c>
      <c r="B15" s="4" t="s">
        <v>83</v>
      </c>
      <c r="C15" s="4" t="s">
        <v>71</v>
      </c>
      <c r="D15" s="12">
        <v>40872</v>
      </c>
      <c r="E15" s="17">
        <v>45005</v>
      </c>
      <c r="F15" s="26">
        <v>34733</v>
      </c>
      <c r="G15" s="9">
        <f ca="1">DATEDIF(Table4[[#This Row],[Date of Birth]],TODAY(),"Y")</f>
        <v>31</v>
      </c>
      <c r="H15" s="9">
        <f>DATEDIF(Table4[[#This Row],[Date of Birth]],Table4[[#This Row],[Joining Date]],"D")</f>
        <v>10272</v>
      </c>
    </row>
    <row r="16" spans="1:11" ht="20.399999999999999" customHeight="1" x14ac:dyDescent="0.3">
      <c r="A16" s="4">
        <v>3014</v>
      </c>
      <c r="B16" s="4" t="s">
        <v>84</v>
      </c>
      <c r="C16" s="4" t="s">
        <v>71</v>
      </c>
      <c r="D16" s="12">
        <v>55378</v>
      </c>
      <c r="E16" s="17">
        <v>45255</v>
      </c>
      <c r="F16" s="26">
        <v>35780</v>
      </c>
      <c r="G16" s="9">
        <f ca="1">DATEDIF(Table4[[#This Row],[Date of Birth]],TODAY(),"Y")</f>
        <v>28</v>
      </c>
      <c r="H16" s="9">
        <f>DATEDIF(Table4[[#This Row],[Date of Birth]],Table4[[#This Row],[Joining Date]],"D")</f>
        <v>9475</v>
      </c>
    </row>
    <row r="17" spans="1:8" ht="20.399999999999999" customHeight="1" x14ac:dyDescent="0.3">
      <c r="A17" s="4">
        <v>3015</v>
      </c>
      <c r="B17" s="4" t="s">
        <v>85</v>
      </c>
      <c r="C17" s="4" t="s">
        <v>71</v>
      </c>
      <c r="D17" s="12">
        <v>63297</v>
      </c>
      <c r="E17" s="17">
        <v>45505</v>
      </c>
      <c r="F17" s="26">
        <v>37039</v>
      </c>
      <c r="G17" s="9">
        <f ca="1">DATEDIF(Table4[[#This Row],[Date of Birth]],TODAY(),"Y")</f>
        <v>25</v>
      </c>
      <c r="H17" s="9">
        <f>DATEDIF(Table4[[#This Row],[Date of Birth]],Table4[[#This Row],[Joining Date]],"D")</f>
        <v>8466</v>
      </c>
    </row>
    <row r="18" spans="1:8" ht="20.399999999999999" customHeight="1" x14ac:dyDescent="0.3">
      <c r="A18" s="4">
        <v>3016</v>
      </c>
      <c r="B18" s="4" t="s">
        <v>86</v>
      </c>
      <c r="C18" s="4" t="s">
        <v>68</v>
      </c>
      <c r="D18" s="12">
        <v>114173</v>
      </c>
      <c r="E18" s="17">
        <v>45755</v>
      </c>
      <c r="F18" s="26">
        <v>35317</v>
      </c>
      <c r="G18" s="9">
        <f ca="1">DATEDIF(Table4[[#This Row],[Date of Birth]],TODAY(),"Y")</f>
        <v>30</v>
      </c>
      <c r="H18" s="9">
        <f>DATEDIF(Table4[[#This Row],[Date of Birth]],Table4[[#This Row],[Joining Date]],"D")</f>
        <v>10438</v>
      </c>
    </row>
    <row r="19" spans="1:8" ht="20.399999999999999" customHeight="1" x14ac:dyDescent="0.3">
      <c r="A19" s="4">
        <v>3017</v>
      </c>
      <c r="B19" s="4" t="s">
        <v>87</v>
      </c>
      <c r="C19" s="4" t="s">
        <v>71</v>
      </c>
      <c r="D19" s="12">
        <v>86915</v>
      </c>
      <c r="E19" s="17">
        <v>46005</v>
      </c>
      <c r="F19" s="26">
        <v>36184</v>
      </c>
      <c r="G19" s="9">
        <f ca="1">DATEDIF(Table4[[#This Row],[Date of Birth]],TODAY(),"Y")</f>
        <v>27</v>
      </c>
      <c r="H19" s="9">
        <f>DATEDIF(Table4[[#This Row],[Date of Birth]],Table4[[#This Row],[Joining Date]],"D")</f>
        <v>9821</v>
      </c>
    </row>
    <row r="20" spans="1:8" ht="20.399999999999999" customHeight="1" x14ac:dyDescent="0.3">
      <c r="A20" s="4">
        <v>3018</v>
      </c>
      <c r="B20" s="4" t="s">
        <v>88</v>
      </c>
      <c r="C20" s="4" t="s">
        <v>74</v>
      </c>
      <c r="D20" s="12">
        <v>116284</v>
      </c>
      <c r="E20" s="17">
        <v>46255</v>
      </c>
      <c r="F20" s="26">
        <v>37357</v>
      </c>
      <c r="G20" s="9">
        <f ca="1">DATEDIF(Table4[[#This Row],[Date of Birth]],TODAY(),"Y")</f>
        <v>24</v>
      </c>
      <c r="H20" s="9">
        <f>DATEDIF(Table4[[#This Row],[Date of Birth]],Table4[[#This Row],[Joining Date]],"D")</f>
        <v>8898</v>
      </c>
    </row>
    <row r="21" spans="1:8" ht="20.399999999999999" customHeight="1" x14ac:dyDescent="0.3">
      <c r="A21" s="4">
        <v>3019</v>
      </c>
      <c r="B21" s="4" t="s">
        <v>89</v>
      </c>
      <c r="C21" s="4" t="s">
        <v>77</v>
      </c>
      <c r="D21" s="12">
        <v>116283</v>
      </c>
      <c r="E21" s="17">
        <v>46505</v>
      </c>
      <c r="F21" s="26">
        <v>34545</v>
      </c>
      <c r="G21" s="9">
        <f ca="1">DATEDIF(Table4[[#This Row],[Date of Birth]],TODAY(),"Y")</f>
        <v>32</v>
      </c>
      <c r="H21" s="9">
        <f>DATEDIF(Table4[[#This Row],[Date of Birth]],Table4[[#This Row],[Joining Date]],"D")</f>
        <v>11960</v>
      </c>
    </row>
    <row r="22" spans="1:8" ht="20.399999999999999" customHeight="1" x14ac:dyDescent="0.3">
      <c r="A22" s="4">
        <v>3020</v>
      </c>
      <c r="B22" s="4" t="s">
        <v>90</v>
      </c>
      <c r="C22" s="4" t="s">
        <v>77</v>
      </c>
      <c r="D22" s="12">
        <v>99924</v>
      </c>
      <c r="E22" s="17">
        <v>46755</v>
      </c>
      <c r="F22" s="26">
        <v>36849</v>
      </c>
      <c r="G22" s="9">
        <f ca="1">DATEDIF(Table4[[#This Row],[Date of Birth]],TODAY(),"Y")</f>
        <v>25</v>
      </c>
      <c r="H22" s="9">
        <f>DATEDIF(Table4[[#This Row],[Date of Birth]],Table4[[#This Row],[Joining Date]],"D")</f>
        <v>9906</v>
      </c>
    </row>
    <row r="26" spans="1:8" ht="30" customHeight="1" x14ac:dyDescent="0.3">
      <c r="B26" s="37" t="s">
        <v>107</v>
      </c>
      <c r="C26" s="37"/>
      <c r="D26" s="37"/>
      <c r="F26" s="37" t="s">
        <v>108</v>
      </c>
      <c r="G26" s="37"/>
      <c r="H26" s="37"/>
    </row>
    <row r="27" spans="1:8" x14ac:dyDescent="0.3">
      <c r="B27" s="18">
        <v>3020</v>
      </c>
      <c r="C27" s="18" t="s">
        <v>65</v>
      </c>
      <c r="D27" s="19">
        <f>INDEX(A3:E22,MATCH(B27,A3:A22,0),MATCH(C27,A2:E2,0))</f>
        <v>99924</v>
      </c>
      <c r="F27" s="35" t="str">
        <f>LEFT(B3,FIND(" ",B3)-1)</f>
        <v>Employee</v>
      </c>
      <c r="G27" s="35"/>
      <c r="H27" s="35"/>
    </row>
    <row r="28" spans="1:8" x14ac:dyDescent="0.3">
      <c r="B28" s="4">
        <v>3019</v>
      </c>
      <c r="C28" s="4" t="s">
        <v>1</v>
      </c>
      <c r="D28" s="4" t="str">
        <f>INDEX(A3:E22,MATCH(B28,A3:A22,0),MATCH(C28,A2:E2,0))</f>
        <v>Employee 19</v>
      </c>
      <c r="F28" s="36" t="str">
        <f t="shared" ref="F28:F30" si="0">LEFT(B4,FIND(" ",B4)-1)</f>
        <v>Employee</v>
      </c>
      <c r="G28" s="36"/>
      <c r="H28" s="36"/>
    </row>
    <row r="29" spans="1:8" x14ac:dyDescent="0.3">
      <c r="B29" s="18">
        <v>3012</v>
      </c>
      <c r="C29" s="18" t="s">
        <v>64</v>
      </c>
      <c r="D29" s="18" t="str">
        <f>INDEX(A3:E22,MATCH(B29,A3:A22,0),MATCH(C29,A2:E2,0))</f>
        <v>Finance</v>
      </c>
      <c r="F29" s="35" t="str">
        <f t="shared" si="0"/>
        <v>Employee</v>
      </c>
      <c r="G29" s="35"/>
      <c r="H29" s="35"/>
    </row>
    <row r="30" spans="1:8" x14ac:dyDescent="0.3">
      <c r="B30" s="4">
        <v>3009</v>
      </c>
      <c r="C30" s="4" t="s">
        <v>66</v>
      </c>
      <c r="D30" s="17">
        <f>INDEX(A3:E22,MATCH(B30,A3:A22,0),MATCH(C30,A2:E2,0))</f>
        <v>44005</v>
      </c>
      <c r="F30" s="36" t="str">
        <f t="shared" si="0"/>
        <v>Employee</v>
      </c>
      <c r="G30" s="36"/>
      <c r="H30" s="36"/>
    </row>
    <row r="34" spans="2:7" ht="42" customHeight="1" x14ac:dyDescent="0.3">
      <c r="B34" s="37" t="s">
        <v>109</v>
      </c>
      <c r="C34" s="37"/>
      <c r="E34" s="37" t="s">
        <v>111</v>
      </c>
      <c r="F34" s="37"/>
      <c r="G34" s="20"/>
    </row>
    <row r="35" spans="2:7" x14ac:dyDescent="0.3">
      <c r="B35" s="18" t="str">
        <f>UPPER(B3)</f>
        <v>EMPLOYEE 1</v>
      </c>
      <c r="C35" s="18" t="str">
        <f>LOWER(B3)</f>
        <v>employee 1</v>
      </c>
      <c r="E35" s="18" t="s">
        <v>85</v>
      </c>
      <c r="F35" s="19">
        <f>_xlfn.XLOOKUP(E35,Table4[Name],Table4[Salary],)</f>
        <v>63297</v>
      </c>
    </row>
    <row r="36" spans="2:7" x14ac:dyDescent="0.3">
      <c r="B36" s="4" t="str">
        <f>UPPER(B4)</f>
        <v>EMPLOYEE 2</v>
      </c>
      <c r="C36" s="4" t="str">
        <f>LOWER(B4)</f>
        <v>employee 2</v>
      </c>
      <c r="E36" s="4" t="s">
        <v>86</v>
      </c>
      <c r="F36" s="6">
        <f>_xlfn.XLOOKUP(E36,Table4[Name],Table4[Salary],)</f>
        <v>114173</v>
      </c>
    </row>
    <row r="37" spans="2:7" x14ac:dyDescent="0.3">
      <c r="B37" s="18" t="str">
        <f t="shared" ref="B37:B38" si="1">UPPER(B5)</f>
        <v>EMPLOYEE 3</v>
      </c>
      <c r="C37" s="18" t="str">
        <f>LOWER(B5)</f>
        <v>employee 3</v>
      </c>
      <c r="E37" s="18" t="s">
        <v>87</v>
      </c>
      <c r="F37" s="19">
        <f>_xlfn.XLOOKUP(E37,Table4[Name],Table4[Salary],)</f>
        <v>86915</v>
      </c>
    </row>
    <row r="38" spans="2:7" x14ac:dyDescent="0.3">
      <c r="B38" s="4" t="str">
        <f t="shared" si="1"/>
        <v>EMPLOYEE 4</v>
      </c>
      <c r="C38" s="4" t="str">
        <f>LOWER(B6)</f>
        <v>employee 4</v>
      </c>
      <c r="E38" s="4" t="s">
        <v>88</v>
      </c>
      <c r="F38" s="6">
        <f>_xlfn.XLOOKUP(E38,Table4[Name],Table4[Salary],)</f>
        <v>116284</v>
      </c>
    </row>
  </sheetData>
  <mergeCells count="10">
    <mergeCell ref="J1:K2"/>
    <mergeCell ref="A1:H1"/>
    <mergeCell ref="F29:H29"/>
    <mergeCell ref="F30:H30"/>
    <mergeCell ref="B34:C34"/>
    <mergeCell ref="E34:F34"/>
    <mergeCell ref="F26:H26"/>
    <mergeCell ref="F27:H27"/>
    <mergeCell ref="F28:H28"/>
    <mergeCell ref="B26:D26"/>
  </mergeCells>
  <phoneticPr fontId="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Students_Grade</vt:lpstr>
      <vt:lpstr>Sales_Data</vt:lpstr>
      <vt:lpstr>Employee_Data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SHIVAJI SHARMA</dc:creator>
  <cp:lastModifiedBy>SHIVAJI SHARMA</cp:lastModifiedBy>
  <dcterms:created xsi:type="dcterms:W3CDTF">2026-10-26T11:35:11Z</dcterms:created>
  <dcterms:modified xsi:type="dcterms:W3CDTF">2026-10-26T14:47:50Z</dcterms:modified>
</cp:coreProperties>
</file>